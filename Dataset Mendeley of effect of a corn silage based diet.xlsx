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sdagcc-my.sharepoint.com/personal/emalee_friend_usda_gov/Documents/Desktop/Interpreting Animal Science Data Class/"/>
    </mc:Choice>
  </mc:AlternateContent>
  <xr:revisionPtr revIDLastSave="0" documentId="8_{656951C5-5AEE-4FCD-8903-B9AB10381B4F}" xr6:coauthVersionLast="47" xr6:coauthVersionMax="47" xr10:uidLastSave="{00000000-0000-0000-0000-000000000000}"/>
  <bookViews>
    <workbookView xWindow="-120" yWindow="-120" windowWidth="29040" windowHeight="15720" firstSheet="4" activeTab="7" xr2:uid="{00000000-000D-0000-FFFF-FFFF00000000}"/>
  </bookViews>
  <sheets>
    <sheet name="Live weights" sheetId="6" r:id="rId1"/>
    <sheet name="Daily feed intake" sheetId="2" r:id="rId2"/>
    <sheet name="Dry matter Intake" sheetId="4" r:id="rId3"/>
    <sheet name="Greenhouse gases emissions" sheetId="17" r:id="rId4"/>
    <sheet name="Carcass composition" sheetId="18" r:id="rId5"/>
    <sheet name="Meat texture" sheetId="19" r:id="rId6"/>
    <sheet name="Meat color" sheetId="22" r:id="rId7"/>
    <sheet name="Carbon Footprint" sheetId="23" r:id="rId8"/>
    <sheet name="README" sheetId="20" r:id="rId9"/>
  </sheets>
  <externalReferences>
    <externalReference r:id="rId10"/>
    <externalReference r:id="rId11"/>
  </externalReferences>
  <definedNames>
    <definedName name="_Hlk200704065" localSheetId="8">README!$B$3</definedName>
  </definedName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2" i="23" l="1"/>
  <c r="J21" i="23"/>
  <c r="J20" i="23"/>
  <c r="J19" i="23"/>
  <c r="J18" i="23"/>
  <c r="J17" i="23"/>
  <c r="J16" i="23"/>
  <c r="J15" i="23"/>
  <c r="J14" i="23"/>
  <c r="J13" i="23"/>
  <c r="J12" i="23"/>
  <c r="J11" i="23"/>
  <c r="J10" i="23"/>
  <c r="J9" i="23"/>
  <c r="J8" i="23"/>
  <c r="J7" i="23"/>
  <c r="J6" i="23"/>
  <c r="J5" i="23"/>
  <c r="J4" i="23"/>
  <c r="J3" i="23"/>
  <c r="J22" i="18" l="1"/>
  <c r="I22" i="18"/>
  <c r="H22" i="18"/>
  <c r="G22" i="18"/>
  <c r="F22" i="18"/>
  <c r="E22" i="18"/>
  <c r="O22" i="18" s="1"/>
  <c r="J21" i="18"/>
  <c r="I21" i="18"/>
  <c r="H21" i="18"/>
  <c r="G21" i="18"/>
  <c r="F21" i="18"/>
  <c r="E21" i="18"/>
  <c r="O21" i="18" s="1"/>
  <c r="O20" i="18"/>
  <c r="K20" i="18"/>
  <c r="J20" i="18"/>
  <c r="I20" i="18"/>
  <c r="H20" i="18"/>
  <c r="G20" i="18"/>
  <c r="F20" i="18"/>
  <c r="E20" i="18"/>
  <c r="O19" i="18"/>
  <c r="K19" i="18"/>
  <c r="J19" i="18"/>
  <c r="F19" i="18"/>
  <c r="E19" i="18"/>
  <c r="N19" i="18" s="1"/>
  <c r="F18" i="18"/>
  <c r="E18" i="18"/>
  <c r="O18" i="18" s="1"/>
  <c r="F17" i="18"/>
  <c r="E17" i="18"/>
  <c r="O17" i="18" s="1"/>
  <c r="J16" i="18"/>
  <c r="H16" i="18"/>
  <c r="F16" i="18"/>
  <c r="E16" i="18"/>
  <c r="H15" i="18"/>
  <c r="G15" i="18"/>
  <c r="L15" i="18" s="1"/>
  <c r="E15" i="18"/>
  <c r="K15" i="18" s="1"/>
  <c r="J14" i="18"/>
  <c r="I14" i="18"/>
  <c r="H14" i="18"/>
  <c r="F14" i="18"/>
  <c r="E14" i="18"/>
  <c r="L14" i="18" s="1"/>
  <c r="F13" i="18"/>
  <c r="E13" i="18"/>
  <c r="M13" i="18" s="1"/>
  <c r="J12" i="18"/>
  <c r="I12" i="18"/>
  <c r="H12" i="18"/>
  <c r="G12" i="18"/>
  <c r="F12" i="18"/>
  <c r="E12" i="18"/>
  <c r="G11" i="18"/>
  <c r="F11" i="18"/>
  <c r="K11" i="18" s="1"/>
  <c r="E11" i="18"/>
  <c r="M11" i="18" s="1"/>
  <c r="H10" i="18"/>
  <c r="F10" i="18"/>
  <c r="K10" i="18" s="1"/>
  <c r="E10" i="18"/>
  <c r="L10" i="18" s="1"/>
  <c r="G9" i="18"/>
  <c r="F9" i="18"/>
  <c r="E9" i="18"/>
  <c r="M9" i="18" s="1"/>
  <c r="M8" i="18"/>
  <c r="I8" i="18"/>
  <c r="H8" i="18"/>
  <c r="G8" i="18"/>
  <c r="F8" i="18"/>
  <c r="E8" i="18"/>
  <c r="I7" i="18"/>
  <c r="H7" i="18"/>
  <c r="M7" i="18" s="1"/>
  <c r="G7" i="18"/>
  <c r="L7" i="18" s="1"/>
  <c r="F7" i="18"/>
  <c r="E7" i="18"/>
  <c r="O7" i="18" s="1"/>
  <c r="J6" i="18"/>
  <c r="I6" i="18"/>
  <c r="H6" i="18"/>
  <c r="E6" i="18"/>
  <c r="L6" i="18" s="1"/>
  <c r="J5" i="18"/>
  <c r="O5" i="18" s="1"/>
  <c r="I5" i="18"/>
  <c r="H5" i="18"/>
  <c r="G5" i="18"/>
  <c r="F5" i="18"/>
  <c r="E5" i="18"/>
  <c r="J4" i="18"/>
  <c r="I4" i="18"/>
  <c r="N4" i="18" s="1"/>
  <c r="G4" i="18"/>
  <c r="F4" i="18"/>
  <c r="K4" i="18" s="1"/>
  <c r="E4" i="18"/>
  <c r="M4" i="18" s="1"/>
  <c r="J3" i="18"/>
  <c r="I3" i="18"/>
  <c r="H3" i="18"/>
  <c r="G3" i="18"/>
  <c r="F3" i="18"/>
  <c r="E3" i="18"/>
  <c r="K3" i="18" l="1"/>
  <c r="K21" i="18"/>
  <c r="O4" i="18"/>
  <c r="N15" i="18"/>
  <c r="O15" i="18"/>
  <c r="O16" i="18"/>
  <c r="K14" i="18"/>
  <c r="O10" i="18"/>
  <c r="M14" i="18"/>
  <c r="L17" i="18"/>
  <c r="M3" i="18"/>
  <c r="N8" i="18"/>
  <c r="L9" i="18"/>
  <c r="K13" i="18"/>
  <c r="P13" i="18" s="1"/>
  <c r="O14" i="18"/>
  <c r="M5" i="18"/>
  <c r="M12" i="18"/>
  <c r="L13" i="18"/>
  <c r="N13" i="18"/>
  <c r="L3" i="18"/>
  <c r="O13" i="18"/>
  <c r="N3" i="18"/>
  <c r="P3" i="18" s="1"/>
  <c r="M6" i="18"/>
  <c r="K9" i="18"/>
  <c r="L12" i="18"/>
  <c r="O3" i="18"/>
  <c r="N6" i="18"/>
  <c r="K16" i="18"/>
  <c r="K22" i="18"/>
  <c r="K5" i="18"/>
  <c r="L11" i="18"/>
  <c r="M16" i="18"/>
  <c r="L18" i="18"/>
  <c r="L20" i="18"/>
  <c r="L21" i="18"/>
  <c r="P21" i="18" s="1"/>
  <c r="L22" i="18"/>
  <c r="K12" i="18"/>
  <c r="K6" i="18"/>
  <c r="L8" i="18"/>
  <c r="O12" i="18"/>
  <c r="M20" i="18"/>
  <c r="M21" i="18"/>
  <c r="M22" i="18"/>
  <c r="N11" i="18"/>
  <c r="N12" i="18"/>
  <c r="M15" i="18"/>
  <c r="P15" i="18" s="1"/>
  <c r="L16" i="18"/>
  <c r="N20" i="18"/>
  <c r="P20" i="18" s="1"/>
  <c r="N21" i="18"/>
  <c r="L4" i="18"/>
  <c r="P4" i="18" s="1"/>
  <c r="N5" i="18"/>
  <c r="M10" i="18"/>
  <c r="O11" i="18"/>
  <c r="N14" i="18"/>
  <c r="P11" i="18"/>
  <c r="O8" i="18"/>
  <c r="N9" i="18"/>
  <c r="K7" i="18"/>
  <c r="O9" i="18"/>
  <c r="N10" i="18"/>
  <c r="K17" i="18"/>
  <c r="K18" i="18"/>
  <c r="N22" i="18"/>
  <c r="O6" i="18"/>
  <c r="M17" i="18"/>
  <c r="M18" i="18"/>
  <c r="L19" i="18"/>
  <c r="N7" i="18"/>
  <c r="K8" i="18"/>
  <c r="N16" i="18"/>
  <c r="N17" i="18"/>
  <c r="N18" i="18"/>
  <c r="M19" i="18"/>
  <c r="L5" i="18"/>
  <c r="P12" i="18" l="1"/>
  <c r="P10" i="18"/>
  <c r="P14" i="18"/>
  <c r="P5" i="18"/>
  <c r="P9" i="18"/>
  <c r="P6" i="18"/>
  <c r="P19" i="18"/>
  <c r="P16" i="18"/>
  <c r="P22" i="18"/>
  <c r="P18" i="18"/>
  <c r="P8" i="18"/>
  <c r="P17" i="18"/>
  <c r="P7" i="18"/>
  <c r="E1387" i="17" l="1"/>
  <c r="B1387" i="17"/>
  <c r="E1386" i="17"/>
  <c r="B1386" i="17"/>
  <c r="E1385" i="17"/>
  <c r="B1385" i="17"/>
  <c r="E1384" i="17"/>
  <c r="B1384" i="17"/>
  <c r="E1383" i="17"/>
  <c r="B1383" i="17"/>
  <c r="E1382" i="17"/>
  <c r="B1382" i="17"/>
  <c r="E1381" i="17"/>
  <c r="B1381" i="17"/>
  <c r="E1380" i="17"/>
  <c r="B1380" i="17"/>
  <c r="E1379" i="17"/>
  <c r="B1379" i="17"/>
  <c r="E1378" i="17"/>
  <c r="B1378" i="17"/>
  <c r="E1377" i="17"/>
  <c r="B1377" i="17"/>
  <c r="E1376" i="17"/>
  <c r="B1376" i="17"/>
  <c r="E1375" i="17"/>
  <c r="B1375" i="17"/>
  <c r="E1374" i="17"/>
  <c r="B1374" i="17"/>
  <c r="E1373" i="17"/>
  <c r="B1373" i="17"/>
  <c r="E1372" i="17"/>
  <c r="B1372" i="17"/>
  <c r="E1371" i="17"/>
  <c r="B1371" i="17"/>
  <c r="E1370" i="17"/>
  <c r="B1370" i="17"/>
  <c r="A1370" i="17"/>
  <c r="E1369" i="17"/>
  <c r="B1369" i="17"/>
  <c r="A1369" i="17"/>
  <c r="E1368" i="17"/>
  <c r="B1368" i="17"/>
  <c r="A1368" i="17"/>
  <c r="E1367" i="17"/>
  <c r="B1367" i="17"/>
  <c r="A1367" i="17"/>
  <c r="E1366" i="17"/>
  <c r="B1366" i="17"/>
  <c r="A1366" i="17"/>
  <c r="E1365" i="17"/>
  <c r="B1365" i="17"/>
  <c r="A1365" i="17"/>
  <c r="E1364" i="17"/>
  <c r="B1364" i="17"/>
  <c r="A1364" i="17"/>
  <c r="E1363" i="17"/>
  <c r="B1363" i="17"/>
  <c r="A1363" i="17"/>
  <c r="E1362" i="17"/>
  <c r="B1362" i="17"/>
  <c r="A1362" i="17"/>
  <c r="E1361" i="17"/>
  <c r="B1361" i="17"/>
  <c r="A1361" i="17"/>
  <c r="E1360" i="17"/>
  <c r="B1360" i="17"/>
  <c r="A1360" i="17"/>
  <c r="E1359" i="17"/>
  <c r="B1359" i="17"/>
  <c r="A1359" i="17"/>
  <c r="E1358" i="17"/>
  <c r="B1358" i="17"/>
  <c r="A1358" i="17"/>
  <c r="E1357" i="17"/>
  <c r="B1357" i="17"/>
  <c r="A1357" i="17"/>
  <c r="E1356" i="17"/>
  <c r="B1356" i="17"/>
  <c r="A1356" i="17"/>
  <c r="E1355" i="17"/>
  <c r="B1355" i="17"/>
  <c r="A1355" i="17"/>
  <c r="E1354" i="17"/>
  <c r="B1354" i="17"/>
  <c r="A1354" i="17"/>
  <c r="E1353" i="17"/>
  <c r="B1353" i="17"/>
  <c r="A1353" i="17"/>
  <c r="E1352" i="17"/>
  <c r="B1352" i="17"/>
  <c r="A1352" i="17"/>
  <c r="E1351" i="17"/>
  <c r="B1351" i="17"/>
  <c r="A1351" i="17"/>
  <c r="E1350" i="17"/>
  <c r="B1350" i="17"/>
  <c r="A1350" i="17"/>
  <c r="E1349" i="17"/>
  <c r="B1349" i="17"/>
  <c r="A1349" i="17"/>
  <c r="E1348" i="17"/>
  <c r="B1348" i="17"/>
  <c r="A1348" i="17"/>
  <c r="E1347" i="17"/>
  <c r="B1347" i="17"/>
  <c r="A1347" i="17"/>
  <c r="E1346" i="17"/>
  <c r="B1346" i="17"/>
  <c r="A1346" i="17"/>
  <c r="E1345" i="17"/>
  <c r="B1345" i="17"/>
  <c r="A1345" i="17"/>
  <c r="E1344" i="17"/>
  <c r="B1344" i="17"/>
  <c r="A1344" i="17"/>
  <c r="E1343" i="17"/>
  <c r="B1343" i="17"/>
  <c r="A1343" i="17"/>
  <c r="E1342" i="17"/>
  <c r="B1342" i="17"/>
  <c r="A1342" i="17"/>
  <c r="E1341" i="17"/>
  <c r="B1341" i="17"/>
  <c r="A1341" i="17"/>
  <c r="E1340" i="17"/>
  <c r="B1340" i="17"/>
  <c r="A1340" i="17"/>
  <c r="E1339" i="17"/>
  <c r="B1339" i="17"/>
  <c r="A1339" i="17"/>
  <c r="E1338" i="17"/>
  <c r="B1338" i="17"/>
  <c r="A1338" i="17"/>
  <c r="E1337" i="17"/>
  <c r="B1337" i="17"/>
  <c r="A1337" i="17"/>
  <c r="E1336" i="17"/>
  <c r="B1336" i="17"/>
  <c r="A1336" i="17"/>
  <c r="E1335" i="17"/>
  <c r="B1335" i="17"/>
  <c r="A1335" i="17"/>
  <c r="E1334" i="17"/>
  <c r="B1334" i="17"/>
  <c r="A1334" i="17"/>
  <c r="E1333" i="17"/>
  <c r="B1333" i="17"/>
  <c r="A1333" i="17"/>
  <c r="E1332" i="17"/>
  <c r="B1332" i="17"/>
  <c r="A1332" i="17"/>
  <c r="E1331" i="17"/>
  <c r="B1331" i="17"/>
  <c r="A1331" i="17"/>
  <c r="E1330" i="17"/>
  <c r="B1330" i="17"/>
  <c r="A1330" i="17"/>
  <c r="E1329" i="17"/>
  <c r="B1329" i="17"/>
  <c r="A1329" i="17"/>
  <c r="E1328" i="17"/>
  <c r="B1328" i="17"/>
  <c r="A1328" i="17"/>
  <c r="E1327" i="17"/>
  <c r="B1327" i="17"/>
  <c r="A1327" i="17"/>
  <c r="E1326" i="17"/>
  <c r="B1326" i="17"/>
  <c r="A1326" i="17"/>
  <c r="E1325" i="17"/>
  <c r="B1325" i="17"/>
  <c r="A1325" i="17"/>
  <c r="E1324" i="17"/>
  <c r="B1324" i="17"/>
  <c r="A1324" i="17"/>
  <c r="E1323" i="17"/>
  <c r="B1323" i="17"/>
  <c r="A1323" i="17"/>
  <c r="E1322" i="17"/>
  <c r="B1322" i="17"/>
  <c r="A1322" i="17"/>
  <c r="E1321" i="17"/>
  <c r="B1321" i="17"/>
  <c r="A1321" i="17"/>
  <c r="E1320" i="17"/>
  <c r="B1320" i="17"/>
  <c r="A1320" i="17"/>
  <c r="E1319" i="17"/>
  <c r="B1319" i="17"/>
  <c r="A1319" i="17"/>
  <c r="E1318" i="17"/>
  <c r="B1318" i="17"/>
  <c r="A1318" i="17"/>
  <c r="E1317" i="17"/>
  <c r="B1317" i="17"/>
  <c r="A1317" i="17"/>
  <c r="E1316" i="17"/>
  <c r="B1316" i="17"/>
  <c r="A1316" i="17"/>
  <c r="E1315" i="17"/>
  <c r="B1315" i="17"/>
  <c r="A1315" i="17"/>
  <c r="E1314" i="17"/>
  <c r="B1314" i="17"/>
  <c r="A1314" i="17"/>
  <c r="E1313" i="17"/>
  <c r="B1313" i="17"/>
  <c r="A1313" i="17"/>
  <c r="E1312" i="17"/>
  <c r="B1312" i="17"/>
  <c r="A1312" i="17"/>
  <c r="E1311" i="17"/>
  <c r="B1311" i="17"/>
  <c r="A1311" i="17"/>
  <c r="E1310" i="17"/>
  <c r="B1310" i="17"/>
  <c r="A1310" i="17"/>
  <c r="E1309" i="17"/>
  <c r="B1309" i="17"/>
  <c r="A1309" i="17"/>
  <c r="E1308" i="17"/>
  <c r="B1308" i="17"/>
  <c r="A1308" i="17"/>
  <c r="E1307" i="17"/>
  <c r="B1307" i="17"/>
  <c r="A1307" i="17"/>
  <c r="E1306" i="17"/>
  <c r="B1306" i="17"/>
  <c r="A1306" i="17"/>
  <c r="E1305" i="17"/>
  <c r="B1305" i="17"/>
  <c r="A1305" i="17"/>
  <c r="E1304" i="17"/>
  <c r="B1304" i="17"/>
  <c r="A1304" i="17"/>
  <c r="E1303" i="17"/>
  <c r="B1303" i="17"/>
  <c r="A1303" i="17"/>
  <c r="E1302" i="17"/>
  <c r="B1302" i="17"/>
  <c r="A1302" i="17"/>
  <c r="E1301" i="17"/>
  <c r="B1301" i="17"/>
  <c r="A1301" i="17"/>
  <c r="E1300" i="17"/>
  <c r="B1300" i="17"/>
  <c r="A1300" i="17"/>
  <c r="E1299" i="17"/>
  <c r="B1299" i="17"/>
  <c r="A1299" i="17"/>
  <c r="E1298" i="17"/>
  <c r="B1298" i="17"/>
  <c r="A1298" i="17"/>
  <c r="E1297" i="17"/>
  <c r="B1297" i="17"/>
  <c r="A1297" i="17"/>
  <c r="E1296" i="17"/>
  <c r="B1296" i="17"/>
  <c r="A1296" i="17"/>
  <c r="E1295" i="17"/>
  <c r="B1295" i="17"/>
  <c r="A1295" i="17"/>
  <c r="E1294" i="17"/>
  <c r="B1294" i="17"/>
  <c r="A1294" i="17"/>
  <c r="E1293" i="17"/>
  <c r="B1293" i="17"/>
  <c r="A1293" i="17"/>
  <c r="E1292" i="17"/>
  <c r="B1292" i="17"/>
  <c r="A1292" i="17"/>
  <c r="E1291" i="17"/>
  <c r="B1291" i="17"/>
  <c r="A1291" i="17"/>
  <c r="E1290" i="17"/>
  <c r="B1290" i="17"/>
  <c r="A1290" i="17"/>
  <c r="E1289" i="17"/>
  <c r="B1289" i="17"/>
  <c r="A1289" i="17"/>
  <c r="E1288" i="17"/>
  <c r="B1288" i="17"/>
  <c r="A1288" i="17"/>
  <c r="E1287" i="17"/>
  <c r="B1287" i="17"/>
  <c r="A1287" i="17"/>
  <c r="E1286" i="17"/>
  <c r="B1286" i="17"/>
  <c r="A1286" i="17"/>
  <c r="E1285" i="17"/>
  <c r="B1285" i="17"/>
  <c r="A1285" i="17"/>
  <c r="E1284" i="17"/>
  <c r="B1284" i="17"/>
  <c r="A1284" i="17"/>
  <c r="E1283" i="17"/>
  <c r="B1283" i="17"/>
  <c r="A1283" i="17"/>
  <c r="E1282" i="17"/>
  <c r="B1282" i="17"/>
  <c r="A1282" i="17"/>
  <c r="E1281" i="17"/>
  <c r="B1281" i="17"/>
  <c r="A1281" i="17"/>
  <c r="E1280" i="17"/>
  <c r="B1280" i="17"/>
  <c r="A1280" i="17"/>
  <c r="E1279" i="17"/>
  <c r="B1279" i="17"/>
  <c r="A1279" i="17"/>
  <c r="E1278" i="17"/>
  <c r="B1278" i="17"/>
  <c r="A1278" i="17"/>
  <c r="E1277" i="17"/>
  <c r="B1277" i="17"/>
  <c r="A1277" i="17"/>
  <c r="E1276" i="17"/>
  <c r="B1276" i="17"/>
  <c r="A1276" i="17"/>
  <c r="E1275" i="17"/>
  <c r="B1275" i="17"/>
  <c r="A1275" i="17"/>
  <c r="E1274" i="17"/>
  <c r="B1274" i="17"/>
  <c r="A1274" i="17"/>
  <c r="E1273" i="17"/>
  <c r="B1273" i="17"/>
  <c r="A1273" i="17"/>
  <c r="E1272" i="17"/>
  <c r="B1272" i="17"/>
  <c r="A1272" i="17"/>
  <c r="E1271" i="17"/>
  <c r="B1271" i="17"/>
  <c r="A1271" i="17"/>
  <c r="E1270" i="17"/>
  <c r="B1270" i="17"/>
  <c r="A1270" i="17"/>
  <c r="E1269" i="17"/>
  <c r="B1269" i="17"/>
  <c r="A1269" i="17"/>
  <c r="E1268" i="17"/>
  <c r="B1268" i="17"/>
  <c r="A1268" i="17"/>
  <c r="E1267" i="17"/>
  <c r="B1267" i="17"/>
  <c r="A1267" i="17"/>
  <c r="E1266" i="17"/>
  <c r="B1266" i="17"/>
  <c r="A1266" i="17"/>
  <c r="E1265" i="17"/>
  <c r="B1265" i="17"/>
  <c r="A1265" i="17"/>
  <c r="E1264" i="17"/>
  <c r="B1264" i="17"/>
  <c r="A1264" i="17"/>
  <c r="E1263" i="17"/>
  <c r="B1263" i="17"/>
  <c r="A1263" i="17"/>
  <c r="E1262" i="17"/>
  <c r="B1262" i="17"/>
  <c r="A1262" i="17"/>
  <c r="E1261" i="17"/>
  <c r="B1261" i="17"/>
  <c r="A1261" i="17"/>
  <c r="E1260" i="17"/>
  <c r="B1260" i="17"/>
  <c r="A1260" i="17"/>
  <c r="E1259" i="17"/>
  <c r="B1259" i="17"/>
  <c r="A1259" i="17"/>
  <c r="E1258" i="17"/>
  <c r="B1258" i="17"/>
  <c r="A1258" i="17"/>
  <c r="E1257" i="17"/>
  <c r="B1257" i="17"/>
  <c r="A1257" i="17"/>
  <c r="E1256" i="17"/>
  <c r="B1256" i="17"/>
  <c r="A1256" i="17"/>
  <c r="E1255" i="17"/>
  <c r="B1255" i="17"/>
  <c r="A1255" i="17"/>
  <c r="E1254" i="17"/>
  <c r="B1254" i="17"/>
  <c r="A1254" i="17"/>
  <c r="E1253" i="17"/>
  <c r="B1253" i="17"/>
  <c r="A1253" i="17"/>
  <c r="E1252" i="17"/>
  <c r="B1252" i="17"/>
  <c r="A1252" i="17"/>
  <c r="E1251" i="17"/>
  <c r="B1251" i="17"/>
  <c r="A1251" i="17"/>
  <c r="E1250" i="17"/>
  <c r="B1250" i="17"/>
  <c r="A1250" i="17"/>
  <c r="E1249" i="17"/>
  <c r="B1249" i="17"/>
  <c r="A1249" i="17"/>
  <c r="E1248" i="17"/>
  <c r="B1248" i="17"/>
  <c r="A1248" i="17"/>
  <c r="E1247" i="17"/>
  <c r="B1247" i="17"/>
  <c r="A1247" i="17"/>
  <c r="E1246" i="17"/>
  <c r="B1246" i="17"/>
  <c r="A1246" i="17"/>
  <c r="E1245" i="17"/>
  <c r="B1245" i="17"/>
  <c r="A1245" i="17"/>
  <c r="E1244" i="17"/>
  <c r="B1244" i="17"/>
  <c r="A1244" i="17"/>
  <c r="E1243" i="17"/>
  <c r="B1243" i="17"/>
  <c r="A1243" i="17"/>
  <c r="E1242" i="17"/>
  <c r="B1242" i="17"/>
  <c r="A1242" i="17"/>
  <c r="E1241" i="17"/>
  <c r="B1241" i="17"/>
  <c r="A1241" i="17"/>
  <c r="E1240" i="17"/>
  <c r="B1240" i="17"/>
  <c r="A1240" i="17"/>
  <c r="E1239" i="17"/>
  <c r="B1239" i="17"/>
  <c r="A1239" i="17"/>
  <c r="E1238" i="17"/>
  <c r="B1238" i="17"/>
  <c r="A1238" i="17"/>
  <c r="E1237" i="17"/>
  <c r="B1237" i="17"/>
  <c r="A1237" i="17"/>
  <c r="E1236" i="17"/>
  <c r="B1236" i="17"/>
  <c r="A1236" i="17"/>
  <c r="E1235" i="17"/>
  <c r="B1235" i="17"/>
  <c r="A1235" i="17"/>
  <c r="E1234" i="17"/>
  <c r="B1234" i="17"/>
  <c r="A1234" i="17"/>
  <c r="E1233" i="17"/>
  <c r="B1233" i="17"/>
  <c r="A1233" i="17"/>
  <c r="E1232" i="17"/>
  <c r="B1232" i="17"/>
  <c r="A1232" i="17"/>
  <c r="E1231" i="17"/>
  <c r="B1231" i="17"/>
  <c r="A1231" i="17"/>
  <c r="E1230" i="17"/>
  <c r="B1230" i="17"/>
  <c r="A1230" i="17"/>
  <c r="E1229" i="17"/>
  <c r="B1229" i="17"/>
  <c r="A1229" i="17"/>
  <c r="E1228" i="17"/>
  <c r="B1228" i="17"/>
  <c r="A1228" i="17"/>
  <c r="E1227" i="17"/>
  <c r="B1227" i="17"/>
  <c r="A1227" i="17"/>
  <c r="E1226" i="17"/>
  <c r="B1226" i="17"/>
  <c r="A1226" i="17"/>
  <c r="E1225" i="17"/>
  <c r="B1225" i="17"/>
  <c r="A1225" i="17"/>
  <c r="E1224" i="17"/>
  <c r="B1224" i="17"/>
  <c r="A1224" i="17"/>
  <c r="E1223" i="17"/>
  <c r="B1223" i="17"/>
  <c r="A1223" i="17"/>
  <c r="E1222" i="17"/>
  <c r="B1222" i="17"/>
  <c r="A1222" i="17"/>
  <c r="E1221" i="17"/>
  <c r="B1221" i="17"/>
  <c r="A1221" i="17"/>
  <c r="E1220" i="17"/>
  <c r="B1220" i="17"/>
  <c r="A1220" i="17"/>
  <c r="E1219" i="17"/>
  <c r="B1219" i="17"/>
  <c r="A1219" i="17"/>
  <c r="E1218" i="17"/>
  <c r="B1218" i="17"/>
  <c r="A1218" i="17"/>
  <c r="E1217" i="17"/>
  <c r="B1217" i="17"/>
  <c r="A1217" i="17"/>
  <c r="E1216" i="17"/>
  <c r="B1216" i="17"/>
  <c r="A1216" i="17"/>
  <c r="E1215" i="17"/>
  <c r="B1215" i="17"/>
  <c r="A1215" i="17"/>
  <c r="E1214" i="17"/>
  <c r="B1214" i="17"/>
  <c r="A1214" i="17"/>
  <c r="E1213" i="17"/>
  <c r="B1213" i="17"/>
  <c r="A1213" i="17"/>
  <c r="E1212" i="17"/>
  <c r="B1212" i="17"/>
  <c r="A1212" i="17"/>
  <c r="E1211" i="17"/>
  <c r="B1211" i="17"/>
  <c r="A1211" i="17"/>
  <c r="E1210" i="17"/>
  <c r="B1210" i="17"/>
  <c r="A1210" i="17"/>
  <c r="E1209" i="17"/>
  <c r="B1209" i="17"/>
  <c r="A1209" i="17"/>
  <c r="E1208" i="17"/>
  <c r="B1208" i="17"/>
  <c r="A1208" i="17"/>
  <c r="E1207" i="17"/>
  <c r="B1207" i="17"/>
  <c r="A1207" i="17"/>
  <c r="E1206" i="17"/>
  <c r="B1206" i="17"/>
  <c r="A1206" i="17"/>
  <c r="E1205" i="17"/>
  <c r="B1205" i="17"/>
  <c r="A1205" i="17"/>
  <c r="E1204" i="17"/>
  <c r="B1204" i="17"/>
  <c r="A1204" i="17"/>
  <c r="E1203" i="17"/>
  <c r="B1203" i="17"/>
  <c r="A1203" i="17"/>
  <c r="E1202" i="17"/>
  <c r="B1202" i="17"/>
  <c r="A1202" i="17"/>
  <c r="E1201" i="17"/>
  <c r="B1201" i="17"/>
  <c r="A1201" i="17"/>
  <c r="E1200" i="17"/>
  <c r="B1200" i="17"/>
  <c r="A1200" i="17"/>
  <c r="E1199" i="17"/>
  <c r="B1199" i="17"/>
  <c r="A1199" i="17"/>
  <c r="E1198" i="17"/>
  <c r="B1198" i="17"/>
  <c r="A1198" i="17"/>
  <c r="E1197" i="17"/>
  <c r="B1197" i="17"/>
  <c r="A1197" i="17"/>
  <c r="E1196" i="17"/>
  <c r="B1196" i="17"/>
  <c r="A1196" i="17"/>
  <c r="E1195" i="17"/>
  <c r="B1195" i="17"/>
  <c r="A1195" i="17"/>
  <c r="E1194" i="17"/>
  <c r="B1194" i="17"/>
  <c r="A1194" i="17"/>
  <c r="E1193" i="17"/>
  <c r="B1193" i="17"/>
  <c r="A1193" i="17"/>
  <c r="E1192" i="17"/>
  <c r="B1192" i="17"/>
  <c r="A1192" i="17"/>
  <c r="E1191" i="17"/>
  <c r="B1191" i="17"/>
  <c r="A1191" i="17"/>
  <c r="E1190" i="17"/>
  <c r="B1190" i="17"/>
  <c r="A1190" i="17"/>
  <c r="E1189" i="17"/>
  <c r="B1189" i="17"/>
  <c r="A1189" i="17"/>
  <c r="E1188" i="17"/>
  <c r="B1188" i="17"/>
  <c r="A1188" i="17"/>
  <c r="E1187" i="17"/>
  <c r="B1187" i="17"/>
  <c r="A1187" i="17"/>
  <c r="E1186" i="17"/>
  <c r="B1186" i="17"/>
  <c r="A1186" i="17"/>
  <c r="E1185" i="17"/>
  <c r="B1185" i="17"/>
  <c r="A1185" i="17"/>
  <c r="E1184" i="17"/>
  <c r="B1184" i="17"/>
  <c r="A1184" i="17"/>
  <c r="E1183" i="17"/>
  <c r="B1183" i="17"/>
  <c r="A1183" i="17"/>
  <c r="E1182" i="17"/>
  <c r="B1182" i="17"/>
  <c r="A1182" i="17"/>
  <c r="E1181" i="17"/>
  <c r="B1181" i="17"/>
  <c r="A1181" i="17"/>
  <c r="E1180" i="17"/>
  <c r="B1180" i="17"/>
  <c r="A1180" i="17"/>
  <c r="E1179" i="17"/>
  <c r="B1179" i="17"/>
  <c r="A1179" i="17"/>
  <c r="E1178" i="17"/>
  <c r="B1178" i="17"/>
  <c r="A1178" i="17"/>
  <c r="E1177" i="17"/>
  <c r="B1177" i="17"/>
  <c r="A1177" i="17"/>
  <c r="E1176" i="17"/>
  <c r="B1176" i="17"/>
  <c r="A1176" i="17"/>
  <c r="E1175" i="17"/>
  <c r="B1175" i="17"/>
  <c r="A1175" i="17"/>
  <c r="E1174" i="17"/>
  <c r="B1174" i="17"/>
  <c r="A1174" i="17"/>
  <c r="E1173" i="17"/>
  <c r="B1173" i="17"/>
  <c r="A1173" i="17"/>
  <c r="E1172" i="17"/>
  <c r="B1172" i="17"/>
  <c r="A1172" i="17"/>
  <c r="E1171" i="17"/>
  <c r="B1171" i="17"/>
  <c r="A1171" i="17"/>
  <c r="E1170" i="17"/>
  <c r="B1170" i="17"/>
  <c r="A1170" i="17"/>
  <c r="E1169" i="17"/>
  <c r="B1169" i="17"/>
  <c r="A1169" i="17"/>
  <c r="E1168" i="17"/>
  <c r="B1168" i="17"/>
  <c r="A1168" i="17"/>
  <c r="E1167" i="17"/>
  <c r="B1167" i="17"/>
  <c r="A1167" i="17"/>
  <c r="E1166" i="17"/>
  <c r="B1166" i="17"/>
  <c r="A1166" i="17"/>
  <c r="E1165" i="17"/>
  <c r="B1165" i="17"/>
  <c r="A1165" i="17"/>
  <c r="E1164" i="17"/>
  <c r="B1164" i="17"/>
  <c r="A1164" i="17"/>
  <c r="E1163" i="17"/>
  <c r="B1163" i="17"/>
  <c r="A1163" i="17"/>
  <c r="E1162" i="17"/>
  <c r="B1162" i="17"/>
  <c r="A1162" i="17"/>
  <c r="E1161" i="17"/>
  <c r="B1161" i="17"/>
  <c r="A1161" i="17"/>
  <c r="E1160" i="17"/>
  <c r="B1160" i="17"/>
  <c r="A1160" i="17"/>
  <c r="E1159" i="17"/>
  <c r="B1159" i="17"/>
  <c r="A1159" i="17"/>
  <c r="E1158" i="17"/>
  <c r="B1158" i="17"/>
  <c r="A1158" i="17"/>
  <c r="E1157" i="17"/>
  <c r="B1157" i="17"/>
  <c r="A1157" i="17"/>
  <c r="E1156" i="17"/>
  <c r="B1156" i="17"/>
  <c r="A1156" i="17"/>
  <c r="E1155" i="17"/>
  <c r="B1155" i="17"/>
  <c r="A1155" i="17"/>
  <c r="E1154" i="17"/>
  <c r="B1154" i="17"/>
  <c r="A1154" i="17"/>
  <c r="E1153" i="17"/>
  <c r="B1153" i="17"/>
  <c r="A1153" i="17"/>
  <c r="E1152" i="17"/>
  <c r="B1152" i="17"/>
  <c r="A1152" i="17"/>
  <c r="E1151" i="17"/>
  <c r="B1151" i="17"/>
  <c r="A1151" i="17"/>
  <c r="E1150" i="17"/>
  <c r="B1150" i="17"/>
  <c r="A1150" i="17"/>
  <c r="E1149" i="17"/>
  <c r="B1149" i="17"/>
  <c r="A1149" i="17"/>
  <c r="E1148" i="17"/>
  <c r="B1148" i="17"/>
  <c r="A1148" i="17"/>
  <c r="E1147" i="17"/>
  <c r="B1147" i="17"/>
  <c r="A1147" i="17"/>
  <c r="E1146" i="17"/>
  <c r="B1146" i="17"/>
  <c r="A1146" i="17"/>
  <c r="E1145" i="17"/>
  <c r="B1145" i="17"/>
  <c r="A1145" i="17"/>
  <c r="E1144" i="17"/>
  <c r="B1144" i="17"/>
  <c r="A1144" i="17"/>
  <c r="E1143" i="17"/>
  <c r="B1143" i="17"/>
  <c r="A1143" i="17"/>
  <c r="E1142" i="17"/>
  <c r="B1142" i="17"/>
  <c r="A1142" i="17"/>
  <c r="E1141" i="17"/>
  <c r="B1141" i="17"/>
  <c r="A1141" i="17"/>
  <c r="E1140" i="17"/>
  <c r="B1140" i="17"/>
  <c r="E1139" i="17"/>
  <c r="B1139" i="17"/>
  <c r="E1138" i="17"/>
  <c r="B1138" i="17"/>
  <c r="E1137" i="17"/>
  <c r="B1137" i="17"/>
  <c r="E1136" i="17"/>
  <c r="B1136" i="17"/>
  <c r="E1135" i="17"/>
  <c r="B1135" i="17"/>
  <c r="E1134" i="17"/>
  <c r="B1134" i="17"/>
  <c r="E1133" i="17"/>
  <c r="B1133" i="17"/>
  <c r="E1132" i="17"/>
  <c r="B1132" i="17"/>
  <c r="E1131" i="17"/>
  <c r="B1131" i="17"/>
  <c r="E1130" i="17"/>
  <c r="B1130" i="17"/>
  <c r="E1129" i="17"/>
  <c r="B1129" i="17"/>
  <c r="E1128" i="17"/>
  <c r="B1128" i="17"/>
  <c r="E1127" i="17"/>
  <c r="B1127" i="17"/>
  <c r="E1126" i="17"/>
  <c r="B1126" i="17"/>
  <c r="E1125" i="17"/>
  <c r="B1125" i="17"/>
  <c r="E1124" i="17"/>
  <c r="B1124" i="17"/>
  <c r="E1123" i="17"/>
  <c r="B1123" i="17"/>
  <c r="E1122" i="17"/>
  <c r="B1122" i="17"/>
  <c r="E1121" i="17"/>
  <c r="B1121" i="17"/>
  <c r="E1120" i="17"/>
  <c r="B1120" i="17"/>
  <c r="E1119" i="17"/>
  <c r="B1119" i="17"/>
  <c r="E1118" i="17"/>
  <c r="B1118" i="17"/>
  <c r="E1117" i="17"/>
  <c r="B1117" i="17"/>
  <c r="E1116" i="17"/>
  <c r="B1116" i="17"/>
  <c r="E1115" i="17"/>
  <c r="B1115" i="17"/>
  <c r="E1114" i="17"/>
  <c r="B1114" i="17"/>
  <c r="E1113" i="17"/>
  <c r="B1113" i="17"/>
  <c r="E1112" i="17"/>
  <c r="B1112" i="17"/>
  <c r="E1111" i="17"/>
  <c r="B1111" i="17"/>
  <c r="E1110" i="17"/>
  <c r="B1110" i="17"/>
  <c r="E1109" i="17"/>
  <c r="B1109" i="17"/>
  <c r="E1108" i="17"/>
  <c r="B1108" i="17"/>
  <c r="E1107" i="17"/>
  <c r="B1107" i="17"/>
  <c r="E1106" i="17"/>
  <c r="B1106" i="17"/>
  <c r="E1105" i="17"/>
  <c r="B1105" i="17"/>
  <c r="E1104" i="17"/>
  <c r="B1104" i="17"/>
  <c r="E1103" i="17"/>
  <c r="B1103" i="17"/>
  <c r="E1102" i="17"/>
  <c r="B1102" i="17"/>
  <c r="E1101" i="17"/>
  <c r="B1101" i="17"/>
  <c r="E1100" i="17"/>
  <c r="B1100" i="17"/>
  <c r="E1099" i="17"/>
  <c r="B1099" i="17"/>
  <c r="E1098" i="17"/>
  <c r="B1098" i="17"/>
  <c r="E1097" i="17"/>
  <c r="B1097" i="17"/>
  <c r="E1096" i="17"/>
  <c r="B1096" i="17"/>
  <c r="E1095" i="17"/>
  <c r="B1095" i="17"/>
  <c r="E1094" i="17"/>
  <c r="B1094" i="17"/>
  <c r="E1093" i="17"/>
  <c r="B1093" i="17"/>
  <c r="E1092" i="17"/>
  <c r="B1092" i="17"/>
  <c r="E1091" i="17"/>
  <c r="B1091" i="17"/>
  <c r="E1090" i="17"/>
  <c r="B1090" i="17"/>
  <c r="E1089" i="17"/>
  <c r="B1089" i="17"/>
  <c r="E1088" i="17"/>
  <c r="B1088" i="17"/>
  <c r="E1087" i="17"/>
  <c r="B1087" i="17"/>
  <c r="E1086" i="17"/>
  <c r="B1086" i="17"/>
  <c r="E1085" i="17"/>
  <c r="B1085" i="17"/>
  <c r="E1084" i="17"/>
  <c r="B1084" i="17"/>
  <c r="E1083" i="17"/>
  <c r="B1083" i="17"/>
  <c r="E1082" i="17"/>
  <c r="B1082" i="17"/>
  <c r="E1081" i="17"/>
  <c r="B1081" i="17"/>
  <c r="E1080" i="17"/>
  <c r="B1080" i="17"/>
  <c r="E1079" i="17"/>
  <c r="B1079" i="17"/>
  <c r="E1078" i="17"/>
  <c r="B1078" i="17"/>
  <c r="E1077" i="17"/>
  <c r="B1077" i="17"/>
  <c r="E1076" i="17"/>
  <c r="B1076" i="17"/>
  <c r="E1075" i="17"/>
  <c r="B1075" i="17"/>
  <c r="E1074" i="17"/>
  <c r="B1074" i="17"/>
  <c r="E1073" i="17"/>
  <c r="B1073" i="17"/>
  <c r="E1072" i="17"/>
  <c r="B1072" i="17"/>
  <c r="E1071" i="17"/>
  <c r="B1071" i="17"/>
  <c r="E1070" i="17"/>
  <c r="B1070" i="17"/>
  <c r="E1069" i="17"/>
  <c r="B1069" i="17"/>
  <c r="E1068" i="17"/>
  <c r="B1068" i="17"/>
  <c r="E1067" i="17"/>
  <c r="B1067" i="17"/>
  <c r="E1066" i="17"/>
  <c r="B1066" i="17"/>
  <c r="E1065" i="17"/>
  <c r="B1065" i="17"/>
  <c r="E1064" i="17"/>
  <c r="B1064" i="17"/>
  <c r="E1063" i="17"/>
  <c r="B1063" i="17"/>
  <c r="E1062" i="17"/>
  <c r="B1062" i="17"/>
  <c r="E1061" i="17"/>
  <c r="B1061" i="17"/>
  <c r="E1060" i="17"/>
  <c r="B1060" i="17"/>
  <c r="E1059" i="17"/>
  <c r="B1059" i="17"/>
  <c r="E1058" i="17"/>
  <c r="B1058" i="17"/>
  <c r="E1057" i="17"/>
  <c r="B1057" i="17"/>
  <c r="E1056" i="17"/>
  <c r="B1056" i="17"/>
  <c r="E1055" i="17"/>
  <c r="B1055" i="17"/>
  <c r="E1054" i="17"/>
  <c r="B1054" i="17"/>
  <c r="E1053" i="17"/>
  <c r="B1053" i="17"/>
  <c r="E1052" i="17"/>
  <c r="B1052" i="17"/>
  <c r="E1051" i="17"/>
  <c r="B1051" i="17"/>
  <c r="E1050" i="17"/>
  <c r="B1050" i="17"/>
  <c r="E1049" i="17"/>
  <c r="B1049" i="17"/>
  <c r="E1048" i="17"/>
  <c r="B1048" i="17"/>
  <c r="E1047" i="17"/>
  <c r="B1047" i="17"/>
  <c r="E1046" i="17"/>
  <c r="B1046" i="17"/>
  <c r="E1045" i="17"/>
  <c r="B1045" i="17"/>
  <c r="E1044" i="17"/>
  <c r="B1044" i="17"/>
  <c r="E1043" i="17"/>
  <c r="B1043" i="17"/>
  <c r="E1042" i="17"/>
  <c r="B1042" i="17"/>
  <c r="E1041" i="17"/>
  <c r="B1041" i="17"/>
  <c r="E1040" i="17"/>
  <c r="B1040" i="17"/>
  <c r="E1039" i="17"/>
  <c r="B1039" i="17"/>
  <c r="E1038" i="17"/>
  <c r="B1038" i="17"/>
  <c r="E1037" i="17"/>
  <c r="B1037" i="17"/>
  <c r="E1036" i="17"/>
  <c r="B1036" i="17"/>
  <c r="E1035" i="17"/>
  <c r="B1035" i="17"/>
  <c r="E1034" i="17"/>
  <c r="B1034" i="17"/>
  <c r="E1033" i="17"/>
  <c r="B1033" i="17"/>
  <c r="E1032" i="17"/>
  <c r="B1032" i="17"/>
  <c r="E1031" i="17"/>
  <c r="B1031" i="17"/>
  <c r="E1030" i="17"/>
  <c r="B1030" i="17"/>
  <c r="E1029" i="17"/>
  <c r="B1029" i="17"/>
  <c r="E1028" i="17"/>
  <c r="B1028" i="17"/>
  <c r="E1027" i="17"/>
  <c r="B1027" i="17"/>
  <c r="E1026" i="17"/>
  <c r="B1026" i="17"/>
  <c r="E1025" i="17"/>
  <c r="B1025" i="17"/>
  <c r="E1024" i="17"/>
  <c r="B1024" i="17"/>
  <c r="E1023" i="17"/>
  <c r="B1023" i="17"/>
  <c r="E1022" i="17"/>
  <c r="B1022" i="17"/>
  <c r="E1021" i="17"/>
  <c r="B1021" i="17"/>
  <c r="E1020" i="17"/>
  <c r="B1020" i="17"/>
  <c r="E1019" i="17"/>
  <c r="B1019" i="17"/>
  <c r="E1018" i="17"/>
  <c r="B1018" i="17"/>
  <c r="E1017" i="17"/>
  <c r="B1017" i="17"/>
  <c r="E1016" i="17"/>
  <c r="B1016" i="17"/>
  <c r="E1015" i="17"/>
  <c r="B1015" i="17"/>
  <c r="E1014" i="17"/>
  <c r="B1014" i="17"/>
  <c r="E1013" i="17"/>
  <c r="B1013" i="17"/>
  <c r="E1012" i="17"/>
  <c r="B1012" i="17"/>
  <c r="E1011" i="17"/>
  <c r="B1011" i="17"/>
  <c r="E1010" i="17"/>
  <c r="B1010" i="17"/>
  <c r="E1009" i="17"/>
  <c r="B1009" i="17"/>
  <c r="E1008" i="17"/>
  <c r="B1008" i="17"/>
  <c r="E1007" i="17"/>
  <c r="B1007" i="17"/>
  <c r="E1006" i="17"/>
  <c r="B1006" i="17"/>
  <c r="E1005" i="17"/>
  <c r="B1005" i="17"/>
  <c r="E1004" i="17"/>
  <c r="B1004" i="17"/>
  <c r="E1003" i="17"/>
  <c r="B1003" i="17"/>
  <c r="E1002" i="17"/>
  <c r="B1002" i="17"/>
  <c r="E1001" i="17"/>
  <c r="B1001" i="17"/>
  <c r="E1000" i="17"/>
  <c r="B1000" i="17"/>
  <c r="E999" i="17"/>
  <c r="B999" i="17"/>
  <c r="E998" i="17"/>
  <c r="B998" i="17"/>
  <c r="E997" i="17"/>
  <c r="B997" i="17"/>
  <c r="E996" i="17"/>
  <c r="B996" i="17"/>
  <c r="E995" i="17"/>
  <c r="B995" i="17"/>
  <c r="E994" i="17"/>
  <c r="B994" i="17"/>
  <c r="E993" i="17"/>
  <c r="B993" i="17"/>
  <c r="E992" i="17"/>
  <c r="B992" i="17"/>
  <c r="E991" i="17"/>
  <c r="B991" i="17"/>
  <c r="E990" i="17"/>
  <c r="B990" i="17"/>
  <c r="E989" i="17"/>
  <c r="B989" i="17"/>
  <c r="E988" i="17"/>
  <c r="B988" i="17"/>
  <c r="E987" i="17"/>
  <c r="B987" i="17"/>
  <c r="E986" i="17"/>
  <c r="B986" i="17"/>
  <c r="E985" i="17"/>
  <c r="B985" i="17"/>
  <c r="E984" i="17"/>
  <c r="B984" i="17"/>
  <c r="E983" i="17"/>
  <c r="B983" i="17"/>
  <c r="E982" i="17"/>
  <c r="B982" i="17"/>
  <c r="E981" i="17"/>
  <c r="B981" i="17"/>
  <c r="E980" i="17"/>
  <c r="B980" i="17"/>
  <c r="E979" i="17"/>
  <c r="B979" i="17"/>
  <c r="E978" i="17"/>
  <c r="B978" i="17"/>
  <c r="E977" i="17"/>
  <c r="B977" i="17"/>
  <c r="E976" i="17"/>
  <c r="B976" i="17"/>
  <c r="E975" i="17"/>
  <c r="B975" i="17"/>
  <c r="E974" i="17"/>
  <c r="B974" i="17"/>
  <c r="E973" i="17"/>
  <c r="B973" i="17"/>
  <c r="E972" i="17"/>
  <c r="B972" i="17"/>
  <c r="E971" i="17"/>
  <c r="B971" i="17"/>
  <c r="E970" i="17"/>
  <c r="B970" i="17"/>
  <c r="E969" i="17"/>
  <c r="B969" i="17"/>
  <c r="E968" i="17"/>
  <c r="B968" i="17"/>
  <c r="E967" i="17"/>
  <c r="B967" i="17"/>
  <c r="E966" i="17"/>
  <c r="B966" i="17"/>
  <c r="E965" i="17"/>
  <c r="B965" i="17"/>
  <c r="E964" i="17"/>
  <c r="B964" i="17"/>
  <c r="E963" i="17"/>
  <c r="B963" i="17"/>
  <c r="E962" i="17"/>
  <c r="B962" i="17"/>
  <c r="E961" i="17"/>
  <c r="B961" i="17"/>
  <c r="E960" i="17"/>
  <c r="B960" i="17"/>
  <c r="E959" i="17"/>
  <c r="B959" i="17"/>
  <c r="E958" i="17"/>
  <c r="B958" i="17"/>
  <c r="E957" i="17"/>
  <c r="B957" i="17"/>
  <c r="E956" i="17"/>
  <c r="B956" i="17"/>
  <c r="E955" i="17"/>
  <c r="B955" i="17"/>
  <c r="E954" i="17"/>
  <c r="B954" i="17"/>
  <c r="E953" i="17"/>
  <c r="B953" i="17"/>
  <c r="E952" i="17"/>
  <c r="B952" i="17"/>
  <c r="E951" i="17"/>
  <c r="B951" i="17"/>
  <c r="E950" i="17"/>
  <c r="B950" i="17"/>
  <c r="E949" i="17"/>
  <c r="B949" i="17"/>
  <c r="E948" i="17"/>
  <c r="B948" i="17"/>
  <c r="E947" i="17"/>
  <c r="B947" i="17"/>
  <c r="E946" i="17"/>
  <c r="B946" i="17"/>
  <c r="E945" i="17"/>
  <c r="B945" i="17"/>
  <c r="E944" i="17"/>
  <c r="B944" i="17"/>
  <c r="E943" i="17"/>
  <c r="B943" i="17"/>
  <c r="E942" i="17"/>
  <c r="B942" i="17"/>
  <c r="E941" i="17"/>
  <c r="B941" i="17"/>
  <c r="E940" i="17"/>
  <c r="B940" i="17"/>
  <c r="E939" i="17"/>
  <c r="B939" i="17"/>
  <c r="E938" i="17"/>
  <c r="B938" i="17"/>
  <c r="E937" i="17"/>
  <c r="B937" i="17"/>
  <c r="E936" i="17"/>
  <c r="B936" i="17"/>
  <c r="E935" i="17"/>
  <c r="B935" i="17"/>
  <c r="E934" i="17"/>
  <c r="B934" i="17"/>
  <c r="E933" i="17"/>
  <c r="B933" i="17"/>
  <c r="E932" i="17"/>
  <c r="B932" i="17"/>
  <c r="E931" i="17"/>
  <c r="B931" i="17"/>
  <c r="E930" i="17"/>
  <c r="B930" i="17"/>
  <c r="E929" i="17"/>
  <c r="B929" i="17"/>
  <c r="E928" i="17"/>
  <c r="B928" i="17"/>
  <c r="E927" i="17"/>
  <c r="B927" i="17"/>
  <c r="E926" i="17"/>
  <c r="B926" i="17"/>
  <c r="E925" i="17"/>
  <c r="B925" i="17"/>
  <c r="E924" i="17"/>
  <c r="B924" i="17"/>
  <c r="E923" i="17"/>
  <c r="B923" i="17"/>
  <c r="E922" i="17"/>
  <c r="B922" i="17"/>
  <c r="E921" i="17"/>
  <c r="B921" i="17"/>
  <c r="E920" i="17"/>
  <c r="B920" i="17"/>
  <c r="E919" i="17"/>
  <c r="B919" i="17"/>
  <c r="E918" i="17"/>
  <c r="B918" i="17"/>
  <c r="E917" i="17"/>
  <c r="B917" i="17"/>
  <c r="E916" i="17"/>
  <c r="B916" i="17"/>
  <c r="E915" i="17"/>
  <c r="B915" i="17"/>
  <c r="E914" i="17"/>
  <c r="B914" i="17"/>
  <c r="E913" i="17"/>
  <c r="B913" i="17"/>
  <c r="E912" i="17"/>
  <c r="B912" i="17"/>
  <c r="E911" i="17"/>
  <c r="B911" i="17"/>
  <c r="E910" i="17"/>
  <c r="B910" i="17"/>
  <c r="E909" i="17"/>
  <c r="B909" i="17"/>
  <c r="E908" i="17"/>
  <c r="B908" i="17"/>
  <c r="E907" i="17"/>
  <c r="B907" i="17"/>
  <c r="E906" i="17"/>
  <c r="B906" i="17"/>
  <c r="E905" i="17"/>
  <c r="B905" i="17"/>
  <c r="E904" i="17"/>
  <c r="B904" i="17"/>
  <c r="E903" i="17"/>
  <c r="B903" i="17"/>
  <c r="E902" i="17"/>
  <c r="B902" i="17"/>
  <c r="E901" i="17"/>
  <c r="B901" i="17"/>
  <c r="E900" i="17"/>
  <c r="B900" i="17"/>
  <c r="E899" i="17"/>
  <c r="B899" i="17"/>
  <c r="E898" i="17"/>
  <c r="B898" i="17"/>
  <c r="E897" i="17"/>
  <c r="B897" i="17"/>
  <c r="E896" i="17"/>
  <c r="B896" i="17"/>
  <c r="E895" i="17"/>
  <c r="B895" i="17"/>
  <c r="E894" i="17"/>
  <c r="B894" i="17"/>
  <c r="E893" i="17"/>
  <c r="B893" i="17"/>
  <c r="E892" i="17"/>
  <c r="B892" i="17"/>
  <c r="E891" i="17"/>
  <c r="B891" i="17"/>
  <c r="E890" i="17"/>
  <c r="B890" i="17"/>
  <c r="E889" i="17"/>
  <c r="B889" i="17"/>
  <c r="E888" i="17"/>
  <c r="B888" i="17"/>
  <c r="E887" i="17"/>
  <c r="B887" i="17"/>
  <c r="E886" i="17"/>
  <c r="B886" i="17"/>
  <c r="E885" i="17"/>
  <c r="B885" i="17"/>
  <c r="E884" i="17"/>
  <c r="B884" i="17"/>
  <c r="E883" i="17"/>
  <c r="B883" i="17"/>
  <c r="E882" i="17"/>
  <c r="B882" i="17"/>
  <c r="E881" i="17"/>
  <c r="B881" i="17"/>
  <c r="E880" i="17"/>
  <c r="B880" i="17"/>
  <c r="E879" i="17"/>
  <c r="B879" i="17"/>
  <c r="E878" i="17"/>
  <c r="B878" i="17"/>
  <c r="E877" i="17"/>
  <c r="B877" i="17"/>
  <c r="E876" i="17"/>
  <c r="B876" i="17"/>
  <c r="E875" i="17"/>
  <c r="B875" i="17"/>
  <c r="E874" i="17"/>
  <c r="B874" i="17"/>
  <c r="E873" i="17"/>
  <c r="B873" i="17"/>
  <c r="E872" i="17"/>
  <c r="B872" i="17"/>
  <c r="E871" i="17"/>
  <c r="B871" i="17"/>
  <c r="E870" i="17"/>
  <c r="B870" i="17"/>
  <c r="E869" i="17"/>
  <c r="B869" i="17"/>
  <c r="E868" i="17"/>
  <c r="B868" i="17"/>
  <c r="E867" i="17"/>
  <c r="B867" i="17"/>
  <c r="E866" i="17"/>
  <c r="B866" i="17"/>
  <c r="E865" i="17"/>
  <c r="B865" i="17"/>
  <c r="E864" i="17"/>
  <c r="B864" i="17"/>
  <c r="E863" i="17"/>
  <c r="B863" i="17"/>
  <c r="E862" i="17"/>
  <c r="B862" i="17"/>
  <c r="E861" i="17"/>
  <c r="B861" i="17"/>
  <c r="E860" i="17"/>
  <c r="B860" i="17"/>
  <c r="E859" i="17"/>
  <c r="B859" i="17"/>
  <c r="E858" i="17"/>
  <c r="B858" i="17"/>
  <c r="E857" i="17"/>
  <c r="B857" i="17"/>
  <c r="E856" i="17"/>
  <c r="B856" i="17"/>
  <c r="E855" i="17"/>
  <c r="B855" i="17"/>
  <c r="E854" i="17"/>
  <c r="B854" i="17"/>
  <c r="E853" i="17"/>
  <c r="B853" i="17"/>
  <c r="E852" i="17"/>
  <c r="B852" i="17"/>
  <c r="E851" i="17"/>
  <c r="B851" i="17"/>
  <c r="E850" i="17"/>
  <c r="B850" i="17"/>
  <c r="E849" i="17"/>
  <c r="B849" i="17"/>
  <c r="E848" i="17"/>
  <c r="B848" i="17"/>
  <c r="E847" i="17"/>
  <c r="B847" i="17"/>
  <c r="E846" i="17"/>
  <c r="B846" i="17"/>
  <c r="E845" i="17"/>
  <c r="B845" i="17"/>
  <c r="E844" i="17"/>
  <c r="B844" i="17"/>
  <c r="E843" i="17"/>
  <c r="B843" i="17"/>
  <c r="E842" i="17"/>
  <c r="B842" i="17"/>
  <c r="E841" i="17"/>
  <c r="B841" i="17"/>
  <c r="E840" i="17"/>
  <c r="B840" i="17"/>
  <c r="E839" i="17"/>
  <c r="B839" i="17"/>
  <c r="E838" i="17"/>
  <c r="B838" i="17"/>
  <c r="E837" i="17"/>
  <c r="B837" i="17"/>
  <c r="E836" i="17"/>
  <c r="B836" i="17"/>
  <c r="A836" i="17"/>
  <c r="E835" i="17"/>
  <c r="B835" i="17"/>
  <c r="A835" i="17"/>
  <c r="E834" i="17"/>
  <c r="B834" i="17"/>
  <c r="A834" i="17"/>
  <c r="E833" i="17"/>
  <c r="B833" i="17"/>
  <c r="A833" i="17"/>
  <c r="E832" i="17"/>
  <c r="B832" i="17"/>
  <c r="A832" i="17"/>
  <c r="E831" i="17"/>
  <c r="B831" i="17"/>
  <c r="A831" i="17"/>
  <c r="E830" i="17"/>
  <c r="B830" i="17"/>
  <c r="A830" i="17"/>
  <c r="E829" i="17"/>
  <c r="B829" i="17"/>
  <c r="A829" i="17"/>
  <c r="E828" i="17"/>
  <c r="B828" i="17"/>
  <c r="A828" i="17"/>
  <c r="E827" i="17"/>
  <c r="B827" i="17"/>
  <c r="A827" i="17"/>
  <c r="E826" i="17"/>
  <c r="B826" i="17"/>
  <c r="A826" i="17"/>
  <c r="E825" i="17"/>
  <c r="B825" i="17"/>
  <c r="A825" i="17"/>
  <c r="E824" i="17"/>
  <c r="B824" i="17"/>
  <c r="A824" i="17"/>
  <c r="E823" i="17"/>
  <c r="B823" i="17"/>
  <c r="A823" i="17"/>
  <c r="E822" i="17"/>
  <c r="B822" i="17"/>
  <c r="A822" i="17"/>
  <c r="E821" i="17"/>
  <c r="B821" i="17"/>
  <c r="A821" i="17"/>
  <c r="E820" i="17"/>
  <c r="B820" i="17"/>
  <c r="A820" i="17"/>
  <c r="E819" i="17"/>
  <c r="B819" i="17"/>
  <c r="A819" i="17"/>
  <c r="E818" i="17"/>
  <c r="B818" i="17"/>
  <c r="A818" i="17"/>
  <c r="E817" i="17"/>
  <c r="B817" i="17"/>
  <c r="A817" i="17"/>
  <c r="E816" i="17"/>
  <c r="B816" i="17"/>
  <c r="A816" i="17"/>
  <c r="E815" i="17"/>
  <c r="B815" i="17"/>
  <c r="A815" i="17"/>
  <c r="E814" i="17"/>
  <c r="B814" i="17"/>
  <c r="A814" i="17"/>
  <c r="E813" i="17"/>
  <c r="B813" i="17"/>
  <c r="A813" i="17"/>
  <c r="E812" i="17"/>
  <c r="B812" i="17"/>
  <c r="A812" i="17"/>
  <c r="E811" i="17"/>
  <c r="B811" i="17"/>
  <c r="A811" i="17"/>
  <c r="E810" i="17"/>
  <c r="B810" i="17"/>
  <c r="A810" i="17"/>
  <c r="E809" i="17"/>
  <c r="B809" i="17"/>
  <c r="A809" i="17"/>
  <c r="E808" i="17"/>
  <c r="B808" i="17"/>
  <c r="A808" i="17"/>
  <c r="E807" i="17"/>
  <c r="B807" i="17"/>
  <c r="A807" i="17"/>
  <c r="E806" i="17"/>
  <c r="B806" i="17"/>
  <c r="A806" i="17"/>
  <c r="E805" i="17"/>
  <c r="B805" i="17"/>
  <c r="A805" i="17"/>
  <c r="E804" i="17"/>
  <c r="B804" i="17"/>
  <c r="A804" i="17"/>
  <c r="E803" i="17"/>
  <c r="B803" i="17"/>
  <c r="A803" i="17"/>
  <c r="E802" i="17"/>
  <c r="B802" i="17"/>
  <c r="A802" i="17"/>
  <c r="E801" i="17"/>
  <c r="B801" i="17"/>
  <c r="A801" i="17"/>
  <c r="E800" i="17"/>
  <c r="B800" i="17"/>
  <c r="A800" i="17"/>
  <c r="E799" i="17"/>
  <c r="B799" i="17"/>
  <c r="A799" i="17"/>
  <c r="E798" i="17"/>
  <c r="B798" i="17"/>
  <c r="A798" i="17"/>
  <c r="E797" i="17"/>
  <c r="B797" i="17"/>
  <c r="A797" i="17"/>
  <c r="E796" i="17"/>
  <c r="B796" i="17"/>
  <c r="A796" i="17"/>
  <c r="E795" i="17"/>
  <c r="B795" i="17"/>
  <c r="A795" i="17"/>
  <c r="E794" i="17"/>
  <c r="B794" i="17"/>
  <c r="A794" i="17"/>
  <c r="E793" i="17"/>
  <c r="B793" i="17"/>
  <c r="A793" i="17"/>
  <c r="E792" i="17"/>
  <c r="B792" i="17"/>
  <c r="A792" i="17"/>
  <c r="E791" i="17"/>
  <c r="B791" i="17"/>
  <c r="A791" i="17"/>
  <c r="E790" i="17"/>
  <c r="B790" i="17"/>
  <c r="A790" i="17"/>
  <c r="E789" i="17"/>
  <c r="B789" i="17"/>
  <c r="A789" i="17"/>
  <c r="E788" i="17"/>
  <c r="B788" i="17"/>
  <c r="A788" i="17"/>
  <c r="E787" i="17"/>
  <c r="B787" i="17"/>
  <c r="A787" i="17"/>
  <c r="E786" i="17"/>
  <c r="B786" i="17"/>
  <c r="A786" i="17"/>
  <c r="E785" i="17"/>
  <c r="B785" i="17"/>
  <c r="A785" i="17"/>
  <c r="E784" i="17"/>
  <c r="B784" i="17"/>
  <c r="A784" i="17"/>
  <c r="E783" i="17"/>
  <c r="B783" i="17"/>
  <c r="A783" i="17"/>
  <c r="E782" i="17"/>
  <c r="B782" i="17"/>
  <c r="A782" i="17"/>
  <c r="E781" i="17"/>
  <c r="B781" i="17"/>
  <c r="A781" i="17"/>
  <c r="E780" i="17"/>
  <c r="B780" i="17"/>
  <c r="A780" i="17"/>
  <c r="E779" i="17"/>
  <c r="B779" i="17"/>
  <c r="A779" i="17"/>
  <c r="E778" i="17"/>
  <c r="B778" i="17"/>
  <c r="A778" i="17"/>
  <c r="E777" i="17"/>
  <c r="B777" i="17"/>
  <c r="A777" i="17"/>
  <c r="E776" i="17"/>
  <c r="B776" i="17"/>
  <c r="A776" i="17"/>
  <c r="E775" i="17"/>
  <c r="B775" i="17"/>
  <c r="A775" i="17"/>
  <c r="E774" i="17"/>
  <c r="B774" i="17"/>
  <c r="A774" i="17"/>
  <c r="E773" i="17"/>
  <c r="B773" i="17"/>
  <c r="A773" i="17"/>
  <c r="E772" i="17"/>
  <c r="B772" i="17"/>
  <c r="A772" i="17"/>
  <c r="E771" i="17"/>
  <c r="B771" i="17"/>
  <c r="A771" i="17"/>
  <c r="E770" i="17"/>
  <c r="B770" i="17"/>
  <c r="A770" i="17"/>
  <c r="E769" i="17"/>
  <c r="B769" i="17"/>
  <c r="A769" i="17"/>
  <c r="E768" i="17"/>
  <c r="B768" i="17"/>
  <c r="A768" i="17"/>
  <c r="E767" i="17"/>
  <c r="B767" i="17"/>
  <c r="A767" i="17"/>
  <c r="E766" i="17"/>
  <c r="B766" i="17"/>
  <c r="A766" i="17"/>
  <c r="E765" i="17"/>
  <c r="B765" i="17"/>
  <c r="A765" i="17"/>
  <c r="E764" i="17"/>
  <c r="B764" i="17"/>
  <c r="A764" i="17"/>
  <c r="E763" i="17"/>
  <c r="B763" i="17"/>
  <c r="A763" i="17"/>
  <c r="E762" i="17"/>
  <c r="B762" i="17"/>
  <c r="A762" i="17"/>
  <c r="E761" i="17"/>
  <c r="B761" i="17"/>
  <c r="A761" i="17"/>
  <c r="E760" i="17"/>
  <c r="B760" i="17"/>
  <c r="A760" i="17"/>
  <c r="E759" i="17"/>
  <c r="B759" i="17"/>
  <c r="A759" i="17"/>
  <c r="E758" i="17"/>
  <c r="B758" i="17"/>
  <c r="A758" i="17"/>
  <c r="E757" i="17"/>
  <c r="B757" i="17"/>
  <c r="A757" i="17"/>
  <c r="E756" i="17"/>
  <c r="B756" i="17"/>
  <c r="A756" i="17"/>
  <c r="E755" i="17"/>
  <c r="B755" i="17"/>
  <c r="A755" i="17"/>
  <c r="E754" i="17"/>
  <c r="B754" i="17"/>
  <c r="A754" i="17"/>
  <c r="E753" i="17"/>
  <c r="B753" i="17"/>
  <c r="A753" i="17"/>
  <c r="E752" i="17"/>
  <c r="B752" i="17"/>
  <c r="A752" i="17"/>
  <c r="E751" i="17"/>
  <c r="B751" i="17"/>
  <c r="A751" i="17"/>
  <c r="E750" i="17"/>
  <c r="B750" i="17"/>
  <c r="A750" i="17"/>
  <c r="E749" i="17"/>
  <c r="B749" i="17"/>
  <c r="A749" i="17"/>
  <c r="E748" i="17"/>
  <c r="B748" i="17"/>
  <c r="A748" i="17"/>
  <c r="E747" i="17"/>
  <c r="B747" i="17"/>
  <c r="A747" i="17"/>
  <c r="E746" i="17"/>
  <c r="B746" i="17"/>
  <c r="A746" i="17"/>
  <c r="E745" i="17"/>
  <c r="B745" i="17"/>
  <c r="A745" i="17"/>
  <c r="E744" i="17"/>
  <c r="B744" i="17"/>
  <c r="A744" i="17"/>
  <c r="E743" i="17"/>
  <c r="B743" i="17"/>
  <c r="A743" i="17"/>
  <c r="E742" i="17"/>
  <c r="B742" i="17"/>
  <c r="A742" i="17"/>
  <c r="E741" i="17"/>
  <c r="B741" i="17"/>
  <c r="A741" i="17"/>
  <c r="E740" i="17"/>
  <c r="B740" i="17"/>
  <c r="A740" i="17"/>
  <c r="E739" i="17"/>
  <c r="B739" i="17"/>
  <c r="A739" i="17"/>
  <c r="E738" i="17"/>
  <c r="B738" i="17"/>
  <c r="A738" i="17"/>
  <c r="E737" i="17"/>
  <c r="B737" i="17"/>
  <c r="A737" i="17"/>
  <c r="E736" i="17"/>
  <c r="B736" i="17"/>
  <c r="A736" i="17"/>
  <c r="E735" i="17"/>
  <c r="B735" i="17"/>
  <c r="A735" i="17"/>
  <c r="E734" i="17"/>
  <c r="B734" i="17"/>
  <c r="A734" i="17"/>
  <c r="E733" i="17"/>
  <c r="B733" i="17"/>
  <c r="A733" i="17"/>
  <c r="E732" i="17"/>
  <c r="B732" i="17"/>
  <c r="A732" i="17"/>
  <c r="E731" i="17"/>
  <c r="B731" i="17"/>
  <c r="A731" i="17"/>
  <c r="E730" i="17"/>
  <c r="B730" i="17"/>
  <c r="A730" i="17"/>
  <c r="E729" i="17"/>
  <c r="B729" i="17"/>
  <c r="A729" i="17"/>
  <c r="E728" i="17"/>
  <c r="B728" i="17"/>
  <c r="A728" i="17"/>
  <c r="E727" i="17"/>
  <c r="B727" i="17"/>
  <c r="A727" i="17"/>
  <c r="E726" i="17"/>
  <c r="B726" i="17"/>
  <c r="A726" i="17"/>
  <c r="E725" i="17"/>
  <c r="B725" i="17"/>
  <c r="A725" i="17"/>
  <c r="E724" i="17"/>
  <c r="B724" i="17"/>
  <c r="A724" i="17"/>
  <c r="E723" i="17"/>
  <c r="B723" i="17"/>
  <c r="A723" i="17"/>
  <c r="E722" i="17"/>
  <c r="B722" i="17"/>
  <c r="A722" i="17"/>
  <c r="E721" i="17"/>
  <c r="B721" i="17"/>
  <c r="A721" i="17"/>
  <c r="E720" i="17"/>
  <c r="B720" i="17"/>
  <c r="A720" i="17"/>
  <c r="E719" i="17"/>
  <c r="B719" i="17"/>
  <c r="A719" i="17"/>
  <c r="E718" i="17"/>
  <c r="B718" i="17"/>
  <c r="A718" i="17"/>
  <c r="E717" i="17"/>
  <c r="B717" i="17"/>
  <c r="A717" i="17"/>
  <c r="E716" i="17"/>
  <c r="B716" i="17"/>
  <c r="A716" i="17"/>
  <c r="E715" i="17"/>
  <c r="B715" i="17"/>
  <c r="A715" i="17"/>
  <c r="E714" i="17"/>
  <c r="B714" i="17"/>
  <c r="A714" i="17"/>
  <c r="E713" i="17"/>
  <c r="B713" i="17"/>
  <c r="A713" i="17"/>
  <c r="E712" i="17"/>
  <c r="B712" i="17"/>
  <c r="A712" i="17"/>
  <c r="E711" i="17"/>
  <c r="B711" i="17"/>
  <c r="A711" i="17"/>
  <c r="E710" i="17"/>
  <c r="B710" i="17"/>
  <c r="A710" i="17"/>
  <c r="E709" i="17"/>
  <c r="B709" i="17"/>
  <c r="A709" i="17"/>
  <c r="E708" i="17"/>
  <c r="B708" i="17"/>
  <c r="A708" i="17"/>
  <c r="E707" i="17"/>
  <c r="B707" i="17"/>
  <c r="A707" i="17"/>
  <c r="E706" i="17"/>
  <c r="B706" i="17"/>
  <c r="A706" i="17"/>
  <c r="E705" i="17"/>
  <c r="B705" i="17"/>
  <c r="A705" i="17"/>
  <c r="E704" i="17"/>
  <c r="B704" i="17"/>
  <c r="A704" i="17"/>
  <c r="E703" i="17"/>
  <c r="B703" i="17"/>
  <c r="A703" i="17"/>
  <c r="E702" i="17"/>
  <c r="B702" i="17"/>
  <c r="A702" i="17"/>
  <c r="E701" i="17"/>
  <c r="B701" i="17"/>
  <c r="A701" i="17"/>
  <c r="E700" i="17"/>
  <c r="B700" i="17"/>
  <c r="A700" i="17"/>
  <c r="E699" i="17"/>
  <c r="B699" i="17"/>
  <c r="A699" i="17"/>
  <c r="E698" i="17"/>
  <c r="B698" i="17"/>
  <c r="A698" i="17"/>
  <c r="E697" i="17"/>
  <c r="B697" i="17"/>
  <c r="A697" i="17"/>
  <c r="E696" i="17"/>
  <c r="B696" i="17"/>
  <c r="A696" i="17"/>
  <c r="E695" i="17"/>
  <c r="B695" i="17"/>
  <c r="A695" i="17"/>
  <c r="E694" i="17"/>
  <c r="B694" i="17"/>
  <c r="A694" i="17"/>
  <c r="E693" i="17"/>
  <c r="B693" i="17"/>
  <c r="A693" i="17"/>
  <c r="E692" i="17"/>
  <c r="B692" i="17"/>
  <c r="A692" i="17"/>
  <c r="E691" i="17"/>
  <c r="B691" i="17"/>
  <c r="A691" i="17"/>
  <c r="E690" i="17"/>
  <c r="B690" i="17"/>
  <c r="A690" i="17"/>
  <c r="E689" i="17"/>
  <c r="B689" i="17"/>
  <c r="A689" i="17"/>
  <c r="E688" i="17"/>
  <c r="B688" i="17"/>
  <c r="A688" i="17"/>
  <c r="E687" i="17"/>
  <c r="B687" i="17"/>
  <c r="A687" i="17"/>
  <c r="E686" i="17"/>
  <c r="B686" i="17"/>
  <c r="A686" i="17"/>
  <c r="E685" i="17"/>
  <c r="B685" i="17"/>
  <c r="A685" i="17"/>
  <c r="E684" i="17"/>
  <c r="B684" i="17"/>
  <c r="A684" i="17"/>
  <c r="E683" i="17"/>
  <c r="B683" i="17"/>
  <c r="A683" i="17"/>
  <c r="E682" i="17"/>
  <c r="B682" i="17"/>
  <c r="A682" i="17"/>
  <c r="E681" i="17"/>
  <c r="B681" i="17"/>
  <c r="A681" i="17"/>
  <c r="E680" i="17"/>
  <c r="B680" i="17"/>
  <c r="A680" i="17"/>
  <c r="E679" i="17"/>
  <c r="B679" i="17"/>
  <c r="A679" i="17"/>
  <c r="E678" i="17"/>
  <c r="B678" i="17"/>
  <c r="A678" i="17"/>
  <c r="E677" i="17"/>
  <c r="B677" i="17"/>
  <c r="A677" i="17"/>
  <c r="E676" i="17"/>
  <c r="B676" i="17"/>
  <c r="A676" i="17"/>
  <c r="E675" i="17"/>
  <c r="B675" i="17"/>
  <c r="A675" i="17"/>
  <c r="E674" i="17"/>
  <c r="B674" i="17"/>
  <c r="A674" i="17"/>
  <c r="E673" i="17"/>
  <c r="B673" i="17"/>
  <c r="A673" i="17"/>
  <c r="E672" i="17"/>
  <c r="B672" i="17"/>
  <c r="A672" i="17"/>
  <c r="E671" i="17"/>
  <c r="B671" i="17"/>
  <c r="A671" i="17"/>
  <c r="E670" i="17"/>
  <c r="B670" i="17"/>
  <c r="A670" i="17"/>
  <c r="E669" i="17"/>
  <c r="B669" i="17"/>
  <c r="A669" i="17"/>
  <c r="E668" i="17"/>
  <c r="B668" i="17"/>
  <c r="A668" i="17"/>
  <c r="E667" i="17"/>
  <c r="B667" i="17"/>
  <c r="A667" i="17"/>
  <c r="E666" i="17"/>
  <c r="B666" i="17"/>
  <c r="A666" i="17"/>
  <c r="E665" i="17"/>
  <c r="B665" i="17"/>
  <c r="A665" i="17"/>
  <c r="E664" i="17"/>
  <c r="B664" i="17"/>
  <c r="A664" i="17"/>
  <c r="E663" i="17"/>
  <c r="B663" i="17"/>
  <c r="A663" i="17"/>
  <c r="E662" i="17"/>
  <c r="B662" i="17"/>
  <c r="A662" i="17"/>
  <c r="E661" i="17"/>
  <c r="B661" i="17"/>
  <c r="A661" i="17"/>
  <c r="E660" i="17"/>
  <c r="B660" i="17"/>
  <c r="A660" i="17"/>
  <c r="E659" i="17"/>
  <c r="B659" i="17"/>
  <c r="A659" i="17"/>
  <c r="E658" i="17"/>
  <c r="B658" i="17"/>
  <c r="A658" i="17"/>
  <c r="E657" i="17"/>
  <c r="B657" i="17"/>
  <c r="A657" i="17"/>
  <c r="E656" i="17"/>
  <c r="B656" i="17"/>
  <c r="A656" i="17"/>
  <c r="E655" i="17"/>
  <c r="B655" i="17"/>
  <c r="A655" i="17"/>
  <c r="E654" i="17"/>
  <c r="B654" i="17"/>
  <c r="A654" i="17"/>
  <c r="E653" i="17"/>
  <c r="B653" i="17"/>
  <c r="A653" i="17"/>
  <c r="E652" i="17"/>
  <c r="B652" i="17"/>
  <c r="A652" i="17"/>
  <c r="E651" i="17"/>
  <c r="B651" i="17"/>
  <c r="A651" i="17"/>
  <c r="E650" i="17"/>
  <c r="B650" i="17"/>
  <c r="A650" i="17"/>
  <c r="E649" i="17"/>
  <c r="B649" i="17"/>
  <c r="A649" i="17"/>
  <c r="E648" i="17"/>
  <c r="B648" i="17"/>
  <c r="A648" i="17"/>
  <c r="E647" i="17"/>
  <c r="B647" i="17"/>
  <c r="A647" i="17"/>
  <c r="E646" i="17"/>
  <c r="B646" i="17"/>
  <c r="A646" i="17"/>
  <c r="E645" i="17"/>
  <c r="B645" i="17"/>
  <c r="A645" i="17"/>
  <c r="E644" i="17"/>
  <c r="B644" i="17"/>
  <c r="A644" i="17"/>
  <c r="E643" i="17"/>
  <c r="B643" i="17"/>
  <c r="A643" i="17"/>
  <c r="E642" i="17"/>
  <c r="B642" i="17"/>
  <c r="A642" i="17"/>
  <c r="E641" i="17"/>
  <c r="B641" i="17"/>
  <c r="A641" i="17"/>
  <c r="E640" i="17"/>
  <c r="B640" i="17"/>
  <c r="A640" i="17"/>
  <c r="E639" i="17"/>
  <c r="B639" i="17"/>
  <c r="A639" i="17"/>
  <c r="E638" i="17"/>
  <c r="B638" i="17"/>
  <c r="A638" i="17"/>
  <c r="E637" i="17"/>
  <c r="B637" i="17"/>
  <c r="A637" i="17"/>
  <c r="E636" i="17"/>
  <c r="B636" i="17"/>
  <c r="A636" i="17"/>
  <c r="E635" i="17"/>
  <c r="B635" i="17"/>
  <c r="A635" i="17"/>
  <c r="E634" i="17"/>
  <c r="B634" i="17"/>
  <c r="A634" i="17"/>
  <c r="E633" i="17"/>
  <c r="B633" i="17"/>
  <c r="A633" i="17"/>
  <c r="E632" i="17"/>
  <c r="B632" i="17"/>
  <c r="A632" i="17"/>
  <c r="E631" i="17"/>
  <c r="B631" i="17"/>
  <c r="A631" i="17"/>
  <c r="E630" i="17"/>
  <c r="B630" i="17"/>
  <c r="A630" i="17"/>
  <c r="E629" i="17"/>
  <c r="B629" i="17"/>
  <c r="A629" i="17"/>
  <c r="E628" i="17"/>
  <c r="B628" i="17"/>
  <c r="A628" i="17"/>
  <c r="E627" i="17"/>
  <c r="B627" i="17"/>
  <c r="A627" i="17"/>
  <c r="E626" i="17"/>
  <c r="B626" i="17"/>
  <c r="A626" i="17"/>
  <c r="E625" i="17"/>
  <c r="B625" i="17"/>
  <c r="A625" i="17"/>
  <c r="E624" i="17"/>
  <c r="B624" i="17"/>
  <c r="A624" i="17"/>
  <c r="E623" i="17"/>
  <c r="B623" i="17"/>
  <c r="A623" i="17"/>
  <c r="E622" i="17"/>
  <c r="B622" i="17"/>
  <c r="A622" i="17"/>
  <c r="E621" i="17"/>
  <c r="B621" i="17"/>
  <c r="A621" i="17"/>
  <c r="E620" i="17"/>
  <c r="B620" i="17"/>
  <c r="A620" i="17"/>
  <c r="E619" i="17"/>
  <c r="B619" i="17"/>
  <c r="A619" i="17"/>
  <c r="E618" i="17"/>
  <c r="B618" i="17"/>
  <c r="A618" i="17"/>
  <c r="E617" i="17"/>
  <c r="B617" i="17"/>
  <c r="A617" i="17"/>
  <c r="E616" i="17"/>
  <c r="B616" i="17"/>
  <c r="A616" i="17"/>
  <c r="E615" i="17"/>
  <c r="B615" i="17"/>
  <c r="A615" i="17"/>
  <c r="E614" i="17"/>
  <c r="B614" i="17"/>
  <c r="A614" i="17"/>
  <c r="E613" i="17"/>
  <c r="B613" i="17"/>
  <c r="A613" i="17"/>
  <c r="E612" i="17"/>
  <c r="B612" i="17"/>
  <c r="A612" i="17"/>
  <c r="E611" i="17"/>
  <c r="B611" i="17"/>
  <c r="A611" i="17"/>
  <c r="E610" i="17"/>
  <c r="B610" i="17"/>
  <c r="A610" i="17"/>
  <c r="E609" i="17"/>
  <c r="B609" i="17"/>
  <c r="A609" i="17"/>
  <c r="E608" i="17"/>
  <c r="B608" i="17"/>
  <c r="A608" i="17"/>
  <c r="E607" i="17"/>
  <c r="B607" i="17"/>
  <c r="A607" i="17"/>
  <c r="E606" i="17"/>
  <c r="B606" i="17"/>
  <c r="A606" i="17"/>
  <c r="E605" i="17"/>
  <c r="B605" i="17"/>
  <c r="A605" i="17"/>
  <c r="E604" i="17"/>
  <c r="B604" i="17"/>
  <c r="A604" i="17"/>
  <c r="E603" i="17"/>
  <c r="B603" i="17"/>
  <c r="A603" i="17"/>
  <c r="E602" i="17"/>
  <c r="B602" i="17"/>
  <c r="A602" i="17"/>
  <c r="E601" i="17"/>
  <c r="B601" i="17"/>
  <c r="A601" i="17"/>
  <c r="E600" i="17"/>
  <c r="B600" i="17"/>
  <c r="A600" i="17"/>
  <c r="E599" i="17"/>
  <c r="B599" i="17"/>
  <c r="E598" i="17"/>
  <c r="B598" i="17"/>
  <c r="E597" i="17"/>
  <c r="B597" i="17"/>
  <c r="E596" i="17"/>
  <c r="B596" i="17"/>
  <c r="E595" i="17"/>
  <c r="B595" i="17"/>
  <c r="E594" i="17"/>
  <c r="B594" i="17"/>
  <c r="E593" i="17"/>
  <c r="B593" i="17"/>
  <c r="E592" i="17"/>
  <c r="B592" i="17"/>
  <c r="E591" i="17"/>
  <c r="B591" i="17"/>
  <c r="E590" i="17"/>
  <c r="B590" i="17"/>
  <c r="E589" i="17"/>
  <c r="B589" i="17"/>
  <c r="E588" i="17"/>
  <c r="B588" i="17"/>
  <c r="E587" i="17"/>
  <c r="B587" i="17"/>
  <c r="E586" i="17"/>
  <c r="B586" i="17"/>
  <c r="E585" i="17"/>
  <c r="B585" i="17"/>
  <c r="E584" i="17"/>
  <c r="B584" i="17"/>
  <c r="E583" i="17"/>
  <c r="B583" i="17"/>
  <c r="E582" i="17"/>
  <c r="B582" i="17"/>
  <c r="E581" i="17"/>
  <c r="B581" i="17"/>
  <c r="E580" i="17"/>
  <c r="B580" i="17"/>
  <c r="E579" i="17"/>
  <c r="B579" i="17"/>
  <c r="E578" i="17"/>
  <c r="B578" i="17"/>
  <c r="E577" i="17"/>
  <c r="B577" i="17"/>
  <c r="E576" i="17"/>
  <c r="B576" i="17"/>
  <c r="E575" i="17"/>
  <c r="B575" i="17"/>
  <c r="E574" i="17"/>
  <c r="B574" i="17"/>
  <c r="E573" i="17"/>
  <c r="B573" i="17"/>
  <c r="E572" i="17"/>
  <c r="B572" i="17"/>
  <c r="E571" i="17"/>
  <c r="B571" i="17"/>
  <c r="E570" i="17"/>
  <c r="B570" i="17"/>
  <c r="E569" i="17"/>
  <c r="B569" i="17"/>
  <c r="E568" i="17"/>
  <c r="B568" i="17"/>
  <c r="E567" i="17"/>
  <c r="B567" i="17"/>
  <c r="E566" i="17"/>
  <c r="B566" i="17"/>
  <c r="E565" i="17"/>
  <c r="B565" i="17"/>
  <c r="E564" i="17"/>
  <c r="B564" i="17"/>
  <c r="E563" i="17"/>
  <c r="B563" i="17"/>
  <c r="E562" i="17"/>
  <c r="B562" i="17"/>
  <c r="E561" i="17"/>
  <c r="B561" i="17"/>
  <c r="E560" i="17"/>
  <c r="B560" i="17"/>
  <c r="E559" i="17"/>
  <c r="B559" i="17"/>
  <c r="E558" i="17"/>
  <c r="B558" i="17"/>
  <c r="E557" i="17"/>
  <c r="B557" i="17"/>
  <c r="E556" i="17"/>
  <c r="B556" i="17"/>
  <c r="E555" i="17"/>
  <c r="B555" i="17"/>
  <c r="E554" i="17"/>
  <c r="B554" i="17"/>
  <c r="E553" i="17"/>
  <c r="B553" i="17"/>
  <c r="E552" i="17"/>
  <c r="B552" i="17"/>
  <c r="E551" i="17"/>
  <c r="B551" i="17"/>
  <c r="E550" i="17"/>
  <c r="B550" i="17"/>
  <c r="E549" i="17"/>
  <c r="B549" i="17"/>
  <c r="E548" i="17"/>
  <c r="B548" i="17"/>
  <c r="E547" i="17"/>
  <c r="B547" i="17"/>
  <c r="E546" i="17"/>
  <c r="B546" i="17"/>
  <c r="E545" i="17"/>
  <c r="B545" i="17"/>
  <c r="E544" i="17"/>
  <c r="B544" i="17"/>
  <c r="E543" i="17"/>
  <c r="B543" i="17"/>
  <c r="E542" i="17"/>
  <c r="B542" i="17"/>
  <c r="E541" i="17"/>
  <c r="B541" i="17"/>
  <c r="E540" i="17"/>
  <c r="B540" i="17"/>
  <c r="E539" i="17"/>
  <c r="B539" i="17"/>
  <c r="E538" i="17"/>
  <c r="B538" i="17"/>
  <c r="E537" i="17"/>
  <c r="B537" i="17"/>
  <c r="E536" i="17"/>
  <c r="B536" i="17"/>
  <c r="E535" i="17"/>
  <c r="B535" i="17"/>
  <c r="E534" i="17"/>
  <c r="B534" i="17"/>
  <c r="E533" i="17"/>
  <c r="B533" i="17"/>
  <c r="E532" i="17"/>
  <c r="B532" i="17"/>
  <c r="E531" i="17"/>
  <c r="B531" i="17"/>
  <c r="E530" i="17"/>
  <c r="B530" i="17"/>
  <c r="E529" i="17"/>
  <c r="B529" i="17"/>
  <c r="E528" i="17"/>
  <c r="B528" i="17"/>
  <c r="E527" i="17"/>
  <c r="B527" i="17"/>
  <c r="E526" i="17"/>
  <c r="B526" i="17"/>
  <c r="E525" i="17"/>
  <c r="B525" i="17"/>
  <c r="E524" i="17"/>
  <c r="B524" i="17"/>
  <c r="E523" i="17"/>
  <c r="B523" i="17"/>
  <c r="E522" i="17"/>
  <c r="B522" i="17"/>
  <c r="E521" i="17"/>
  <c r="B521" i="17"/>
  <c r="E520" i="17"/>
  <c r="B520" i="17"/>
  <c r="E519" i="17"/>
  <c r="B519" i="17"/>
  <c r="E518" i="17"/>
  <c r="B518" i="17"/>
  <c r="E517" i="17"/>
  <c r="B517" i="17"/>
  <c r="E516" i="17"/>
  <c r="B516" i="17"/>
  <c r="E515" i="17"/>
  <c r="B515" i="17"/>
  <c r="E514" i="17"/>
  <c r="B514" i="17"/>
  <c r="E513" i="17"/>
  <c r="B513" i="17"/>
  <c r="E512" i="17"/>
  <c r="B512" i="17"/>
  <c r="E511" i="17"/>
  <c r="B511" i="17"/>
  <c r="E510" i="17"/>
  <c r="B510" i="17"/>
  <c r="E509" i="17"/>
  <c r="B509" i="17"/>
  <c r="E508" i="17"/>
  <c r="B508" i="17"/>
  <c r="E507" i="17"/>
  <c r="B507" i="17"/>
  <c r="E506" i="17"/>
  <c r="B506" i="17"/>
  <c r="E505" i="17"/>
  <c r="B505" i="17"/>
  <c r="E504" i="17"/>
  <c r="B504" i="17"/>
  <c r="E503" i="17"/>
  <c r="B503" i="17"/>
  <c r="E502" i="17"/>
  <c r="B502" i="17"/>
  <c r="E501" i="17"/>
  <c r="B501" i="17"/>
  <c r="E500" i="17"/>
  <c r="B500" i="17"/>
  <c r="E499" i="17"/>
  <c r="B499" i="17"/>
  <c r="E498" i="17"/>
  <c r="B498" i="17"/>
  <c r="E497" i="17"/>
  <c r="B497" i="17"/>
  <c r="E496" i="17"/>
  <c r="B496" i="17"/>
  <c r="E495" i="17"/>
  <c r="B495" i="17"/>
  <c r="E494" i="17"/>
  <c r="B494" i="17"/>
  <c r="E493" i="17"/>
  <c r="B493" i="17"/>
  <c r="E492" i="17"/>
  <c r="B492" i="17"/>
  <c r="E491" i="17"/>
  <c r="B491" i="17"/>
  <c r="E490" i="17"/>
  <c r="B490" i="17"/>
  <c r="E489" i="17"/>
  <c r="B489" i="17"/>
  <c r="E488" i="17"/>
  <c r="B488" i="17"/>
  <c r="E487" i="17"/>
  <c r="B487" i="17"/>
  <c r="E486" i="17"/>
  <c r="B486" i="17"/>
  <c r="E485" i="17"/>
  <c r="B485" i="17"/>
  <c r="E484" i="17"/>
  <c r="B484" i="17"/>
  <c r="E483" i="17"/>
  <c r="B483" i="17"/>
  <c r="E482" i="17"/>
  <c r="B482" i="17"/>
  <c r="E481" i="17"/>
  <c r="B481" i="17"/>
  <c r="E480" i="17"/>
  <c r="B480" i="17"/>
  <c r="E479" i="17"/>
  <c r="B479" i="17"/>
  <c r="E478" i="17"/>
  <c r="B478" i="17"/>
  <c r="E477" i="17"/>
  <c r="B477" i="17"/>
  <c r="E476" i="17"/>
  <c r="B476" i="17"/>
  <c r="E475" i="17"/>
  <c r="B475" i="17"/>
  <c r="E474" i="17"/>
  <c r="B474" i="17"/>
  <c r="E473" i="17"/>
  <c r="B473" i="17"/>
  <c r="E472" i="17"/>
  <c r="B472" i="17"/>
  <c r="E471" i="17"/>
  <c r="B471" i="17"/>
  <c r="E470" i="17"/>
  <c r="B470" i="17"/>
  <c r="E469" i="17"/>
  <c r="B469" i="17"/>
  <c r="E468" i="17"/>
  <c r="B468" i="17"/>
  <c r="E467" i="17"/>
  <c r="B467" i="17"/>
  <c r="E466" i="17"/>
  <c r="B466" i="17"/>
  <c r="E465" i="17"/>
  <c r="B465" i="17"/>
  <c r="E464" i="17"/>
  <c r="B464" i="17"/>
  <c r="E463" i="17"/>
  <c r="B463" i="17"/>
  <c r="E462" i="17"/>
  <c r="B462" i="17"/>
  <c r="E461" i="17"/>
  <c r="B461" i="17"/>
  <c r="E460" i="17"/>
  <c r="B460" i="17"/>
  <c r="E459" i="17"/>
  <c r="B459" i="17"/>
  <c r="E458" i="17"/>
  <c r="B458" i="17"/>
  <c r="E457" i="17"/>
  <c r="B457" i="17"/>
  <c r="E456" i="17"/>
  <c r="B456" i="17"/>
  <c r="E455" i="17"/>
  <c r="B455" i="17"/>
  <c r="E454" i="17"/>
  <c r="B454" i="17"/>
  <c r="E453" i="17"/>
  <c r="B453" i="17"/>
  <c r="E452" i="17"/>
  <c r="B452" i="17"/>
  <c r="E451" i="17"/>
  <c r="B451" i="17"/>
  <c r="E450" i="17"/>
  <c r="B450" i="17"/>
  <c r="E449" i="17"/>
  <c r="B449" i="17"/>
  <c r="E448" i="17"/>
  <c r="B448" i="17"/>
  <c r="E447" i="17"/>
  <c r="B447" i="17"/>
  <c r="E446" i="17"/>
  <c r="B446" i="17"/>
  <c r="E445" i="17"/>
  <c r="B445" i="17"/>
  <c r="E444" i="17"/>
  <c r="B444" i="17"/>
  <c r="E443" i="17"/>
  <c r="B443" i="17"/>
  <c r="E442" i="17"/>
  <c r="B442" i="17"/>
  <c r="E441" i="17"/>
  <c r="B441" i="17"/>
  <c r="E440" i="17"/>
  <c r="B440" i="17"/>
  <c r="E439" i="17"/>
  <c r="B439" i="17"/>
  <c r="E438" i="17"/>
  <c r="B438" i="17"/>
  <c r="E437" i="17"/>
  <c r="B437" i="17"/>
  <c r="E436" i="17"/>
  <c r="B436" i="17"/>
  <c r="E435" i="17"/>
  <c r="B435" i="17"/>
  <c r="E434" i="17"/>
  <c r="B434" i="17"/>
  <c r="E433" i="17"/>
  <c r="B433" i="17"/>
  <c r="E432" i="17"/>
  <c r="B432" i="17"/>
  <c r="E431" i="17"/>
  <c r="B431" i="17"/>
  <c r="E430" i="17"/>
  <c r="B430" i="17"/>
  <c r="E429" i="17"/>
  <c r="B429" i="17"/>
  <c r="E428" i="17"/>
  <c r="B428" i="17"/>
  <c r="E427" i="17"/>
  <c r="B427" i="17"/>
  <c r="E426" i="17"/>
  <c r="B426" i="17"/>
  <c r="E425" i="17"/>
  <c r="B425" i="17"/>
  <c r="E424" i="17"/>
  <c r="B424" i="17"/>
  <c r="E423" i="17"/>
  <c r="B423" i="17"/>
  <c r="E422" i="17"/>
  <c r="B422" i="17"/>
  <c r="E421" i="17"/>
  <c r="B421" i="17"/>
  <c r="E420" i="17"/>
  <c r="B420" i="17"/>
  <c r="E419" i="17"/>
  <c r="B419" i="17"/>
  <c r="E418" i="17"/>
  <c r="B418" i="17"/>
  <c r="E417" i="17"/>
  <c r="B417" i="17"/>
  <c r="E416" i="17"/>
  <c r="B416" i="17"/>
  <c r="E415" i="17"/>
  <c r="B415" i="17"/>
  <c r="E414" i="17"/>
  <c r="B414" i="17"/>
  <c r="E413" i="17"/>
  <c r="B413" i="17"/>
  <c r="E412" i="17"/>
  <c r="B412" i="17"/>
  <c r="E411" i="17"/>
  <c r="B411" i="17"/>
  <c r="E410" i="17"/>
  <c r="B410" i="17"/>
  <c r="E409" i="17"/>
  <c r="B409" i="17"/>
  <c r="E408" i="17"/>
  <c r="B408" i="17"/>
  <c r="E407" i="17"/>
  <c r="B407" i="17"/>
  <c r="E406" i="17"/>
  <c r="B406" i="17"/>
  <c r="E405" i="17"/>
  <c r="B405" i="17"/>
  <c r="E404" i="17"/>
  <c r="B404" i="17"/>
  <c r="E403" i="17"/>
  <c r="B403" i="17"/>
  <c r="E402" i="17"/>
  <c r="B402" i="17"/>
  <c r="E401" i="17"/>
  <c r="B401" i="17"/>
  <c r="E400" i="17"/>
  <c r="B400" i="17"/>
  <c r="E399" i="17"/>
  <c r="B399" i="17"/>
  <c r="E398" i="17"/>
  <c r="B398" i="17"/>
  <c r="E397" i="17"/>
  <c r="B397" i="17"/>
  <c r="E396" i="17"/>
  <c r="B396" i="17"/>
  <c r="E395" i="17"/>
  <c r="B395" i="17"/>
  <c r="E394" i="17"/>
  <c r="B394" i="17"/>
  <c r="E393" i="17"/>
  <c r="B393" i="17"/>
  <c r="E392" i="17"/>
  <c r="B392" i="17"/>
  <c r="E391" i="17"/>
  <c r="B391" i="17"/>
  <c r="E390" i="17"/>
  <c r="B390" i="17"/>
  <c r="E389" i="17"/>
  <c r="B389" i="17"/>
  <c r="E388" i="17"/>
  <c r="B388" i="17"/>
  <c r="E387" i="17"/>
  <c r="B387" i="17"/>
  <c r="E386" i="17"/>
  <c r="B386" i="17"/>
  <c r="E385" i="17"/>
  <c r="B385" i="17"/>
  <c r="E384" i="17"/>
  <c r="B384" i="17"/>
  <c r="E383" i="17"/>
  <c r="B383" i="17"/>
  <c r="E382" i="17"/>
  <c r="B382" i="17"/>
  <c r="E381" i="17"/>
  <c r="B381" i="17"/>
  <c r="E380" i="17"/>
  <c r="B380" i="17"/>
  <c r="E379" i="17"/>
  <c r="B379" i="17"/>
  <c r="E378" i="17"/>
  <c r="B378" i="17"/>
  <c r="E377" i="17"/>
  <c r="B377" i="17"/>
  <c r="E376" i="17"/>
  <c r="B376" i="17"/>
  <c r="E375" i="17"/>
  <c r="B375" i="17"/>
  <c r="E374" i="17"/>
  <c r="B374" i="17"/>
  <c r="E373" i="17"/>
  <c r="B373" i="17"/>
  <c r="E372" i="17"/>
  <c r="B372" i="17"/>
  <c r="E371" i="17"/>
  <c r="B371" i="17"/>
  <c r="A371" i="17"/>
  <c r="E370" i="17"/>
  <c r="B370" i="17"/>
  <c r="A370" i="17"/>
  <c r="E369" i="17"/>
  <c r="B369" i="17"/>
  <c r="A369" i="17"/>
  <c r="E368" i="17"/>
  <c r="B368" i="17"/>
  <c r="A368" i="17"/>
  <c r="E367" i="17"/>
  <c r="B367" i="17"/>
  <c r="A367" i="17"/>
  <c r="E366" i="17"/>
  <c r="B366" i="17"/>
  <c r="A366" i="17"/>
  <c r="E365" i="17"/>
  <c r="B365" i="17"/>
  <c r="A365" i="17"/>
  <c r="E364" i="17"/>
  <c r="B364" i="17"/>
  <c r="A364" i="17"/>
  <c r="E363" i="17"/>
  <c r="B363" i="17"/>
  <c r="A363" i="17"/>
  <c r="E362" i="17"/>
  <c r="B362" i="17"/>
  <c r="A362" i="17"/>
  <c r="E361" i="17"/>
  <c r="B361" i="17"/>
  <c r="A361" i="17"/>
  <c r="E360" i="17"/>
  <c r="B360" i="17"/>
  <c r="A360" i="17"/>
  <c r="E359" i="17"/>
  <c r="B359" i="17"/>
  <c r="A359" i="17"/>
  <c r="E358" i="17"/>
  <c r="B358" i="17"/>
  <c r="A358" i="17"/>
  <c r="E357" i="17"/>
  <c r="B357" i="17"/>
  <c r="A357" i="17"/>
  <c r="E356" i="17"/>
  <c r="B356" i="17"/>
  <c r="A356" i="17"/>
  <c r="E355" i="17"/>
  <c r="B355" i="17"/>
  <c r="A355" i="17"/>
  <c r="E354" i="17"/>
  <c r="B354" i="17"/>
  <c r="A354" i="17"/>
  <c r="E353" i="17"/>
  <c r="B353" i="17"/>
  <c r="A353" i="17"/>
  <c r="E352" i="17"/>
  <c r="B352" i="17"/>
  <c r="A352" i="17"/>
  <c r="E351" i="17"/>
  <c r="B351" i="17"/>
  <c r="A351" i="17"/>
  <c r="E350" i="17"/>
  <c r="B350" i="17"/>
  <c r="A350" i="17"/>
  <c r="E349" i="17"/>
  <c r="B349" i="17"/>
  <c r="A349" i="17"/>
  <c r="E348" i="17"/>
  <c r="B348" i="17"/>
  <c r="A348" i="17"/>
  <c r="E347" i="17"/>
  <c r="B347" i="17"/>
  <c r="A347" i="17"/>
  <c r="E346" i="17"/>
  <c r="B346" i="17"/>
  <c r="A346" i="17"/>
  <c r="E345" i="17"/>
  <c r="B345" i="17"/>
  <c r="A345" i="17"/>
  <c r="E344" i="17"/>
  <c r="B344" i="17"/>
  <c r="A344" i="17"/>
  <c r="E343" i="17"/>
  <c r="B343" i="17"/>
  <c r="A343" i="17"/>
  <c r="E342" i="17"/>
  <c r="B342" i="17"/>
  <c r="A342" i="17"/>
  <c r="E341" i="17"/>
  <c r="B341" i="17"/>
  <c r="A341" i="17"/>
  <c r="E340" i="17"/>
  <c r="B340" i="17"/>
  <c r="A340" i="17"/>
  <c r="E339" i="17"/>
  <c r="B339" i="17"/>
  <c r="A339" i="17"/>
  <c r="E338" i="17"/>
  <c r="B338" i="17"/>
  <c r="A338" i="17"/>
  <c r="E337" i="17"/>
  <c r="B337" i="17"/>
  <c r="A337" i="17"/>
  <c r="E336" i="17"/>
  <c r="B336" i="17"/>
  <c r="A336" i="17"/>
  <c r="E335" i="17"/>
  <c r="B335" i="17"/>
  <c r="A335" i="17"/>
  <c r="E334" i="17"/>
  <c r="B334" i="17"/>
  <c r="A334" i="17"/>
  <c r="E333" i="17"/>
  <c r="B333" i="17"/>
  <c r="A333" i="17"/>
  <c r="E332" i="17"/>
  <c r="B332" i="17"/>
  <c r="A332" i="17"/>
  <c r="E331" i="17"/>
  <c r="B331" i="17"/>
  <c r="A331" i="17"/>
  <c r="E330" i="17"/>
  <c r="B330" i="17"/>
  <c r="A330" i="17"/>
  <c r="E329" i="17"/>
  <c r="B329" i="17"/>
  <c r="A329" i="17"/>
  <c r="E328" i="17"/>
  <c r="B328" i="17"/>
  <c r="A328" i="17"/>
  <c r="E327" i="17"/>
  <c r="B327" i="17"/>
  <c r="A327" i="17"/>
  <c r="E326" i="17"/>
  <c r="B326" i="17"/>
  <c r="A326" i="17"/>
  <c r="E325" i="17"/>
  <c r="B325" i="17"/>
  <c r="A325" i="17"/>
  <c r="E324" i="17"/>
  <c r="B324" i="17"/>
  <c r="A324" i="17"/>
  <c r="E323" i="17"/>
  <c r="B323" i="17"/>
  <c r="A323" i="17"/>
  <c r="E322" i="17"/>
  <c r="B322" i="17"/>
  <c r="A322" i="17"/>
  <c r="E321" i="17"/>
  <c r="B321" i="17"/>
  <c r="A321" i="17"/>
  <c r="E320" i="17"/>
  <c r="B320" i="17"/>
  <c r="A320" i="17"/>
  <c r="E319" i="17"/>
  <c r="B319" i="17"/>
  <c r="A319" i="17"/>
  <c r="E318" i="17"/>
  <c r="B318" i="17"/>
  <c r="A318" i="17"/>
  <c r="E317" i="17"/>
  <c r="B317" i="17"/>
  <c r="A317" i="17"/>
  <c r="E316" i="17"/>
  <c r="B316" i="17"/>
  <c r="A316" i="17"/>
  <c r="E315" i="17"/>
  <c r="B315" i="17"/>
  <c r="A315" i="17"/>
  <c r="E314" i="17"/>
  <c r="B314" i="17"/>
  <c r="A314" i="17"/>
  <c r="E313" i="17"/>
  <c r="B313" i="17"/>
  <c r="A313" i="17"/>
  <c r="E312" i="17"/>
  <c r="B312" i="17"/>
  <c r="A312" i="17"/>
  <c r="E311" i="17"/>
  <c r="B311" i="17"/>
  <c r="A311" i="17"/>
  <c r="E310" i="17"/>
  <c r="B310" i="17"/>
  <c r="A310" i="17"/>
  <c r="E309" i="17"/>
  <c r="B309" i="17"/>
  <c r="A309" i="17"/>
  <c r="E308" i="17"/>
  <c r="B308" i="17"/>
  <c r="A308" i="17"/>
  <c r="E307" i="17"/>
  <c r="B307" i="17"/>
  <c r="A307" i="17"/>
  <c r="E306" i="17"/>
  <c r="B306" i="17"/>
  <c r="A306" i="17"/>
  <c r="E305" i="17"/>
  <c r="B305" i="17"/>
  <c r="A305" i="17"/>
  <c r="E304" i="17"/>
  <c r="B304" i="17"/>
  <c r="A304" i="17"/>
  <c r="E303" i="17"/>
  <c r="B303" i="17"/>
  <c r="A303" i="17"/>
  <c r="E302" i="17"/>
  <c r="B302" i="17"/>
  <c r="A302" i="17"/>
  <c r="E301" i="17"/>
  <c r="B301" i="17"/>
  <c r="A301" i="17"/>
  <c r="E300" i="17"/>
  <c r="B300" i="17"/>
  <c r="A300" i="17"/>
  <c r="E299" i="17"/>
  <c r="B299" i="17"/>
  <c r="A299" i="17"/>
  <c r="E298" i="17"/>
  <c r="B298" i="17"/>
  <c r="A298" i="17"/>
  <c r="E297" i="17"/>
  <c r="B297" i="17"/>
  <c r="A297" i="17"/>
  <c r="E296" i="17"/>
  <c r="B296" i="17"/>
  <c r="A296" i="17"/>
  <c r="E295" i="17"/>
  <c r="B295" i="17"/>
  <c r="A295" i="17"/>
  <c r="E294" i="17"/>
  <c r="B294" i="17"/>
  <c r="A294" i="17"/>
  <c r="E293" i="17"/>
  <c r="B293" i="17"/>
  <c r="A293" i="17"/>
  <c r="E292" i="17"/>
  <c r="B292" i="17"/>
  <c r="A292" i="17"/>
  <c r="E291" i="17"/>
  <c r="B291" i="17"/>
  <c r="A291" i="17"/>
  <c r="E290" i="17"/>
  <c r="B290" i="17"/>
  <c r="A290" i="17"/>
  <c r="E289" i="17"/>
  <c r="B289" i="17"/>
  <c r="A289" i="17"/>
  <c r="E288" i="17"/>
  <c r="B288" i="17"/>
  <c r="A288" i="17"/>
  <c r="E287" i="17"/>
  <c r="B287" i="17"/>
  <c r="A287" i="17"/>
  <c r="E286" i="17"/>
  <c r="B286" i="17"/>
  <c r="A286" i="17"/>
  <c r="E285" i="17"/>
  <c r="B285" i="17"/>
  <c r="A285" i="17"/>
  <c r="E284" i="17"/>
  <c r="B284" i="17"/>
  <c r="A284" i="17"/>
  <c r="E283" i="17"/>
  <c r="B283" i="17"/>
  <c r="A283" i="17"/>
  <c r="E282" i="17"/>
  <c r="B282" i="17"/>
  <c r="A282" i="17"/>
  <c r="E281" i="17"/>
  <c r="B281" i="17"/>
  <c r="A281" i="17"/>
  <c r="E280" i="17"/>
  <c r="B280" i="17"/>
  <c r="A280" i="17"/>
  <c r="E279" i="17"/>
  <c r="B279" i="17"/>
  <c r="A279" i="17"/>
  <c r="E278" i="17"/>
  <c r="B278" i="17"/>
  <c r="A278" i="17"/>
  <c r="E277" i="17"/>
  <c r="B277" i="17"/>
  <c r="A277" i="17"/>
  <c r="E276" i="17"/>
  <c r="B276" i="17"/>
  <c r="A276" i="17"/>
  <c r="E275" i="17"/>
  <c r="B275" i="17"/>
  <c r="A275" i="17"/>
  <c r="E274" i="17"/>
  <c r="B274" i="17"/>
  <c r="A274" i="17"/>
  <c r="E273" i="17"/>
  <c r="B273" i="17"/>
  <c r="A273" i="17"/>
  <c r="E272" i="17"/>
  <c r="B272" i="17"/>
  <c r="A272" i="17"/>
  <c r="E271" i="17"/>
  <c r="B271" i="17"/>
  <c r="A271" i="17"/>
  <c r="E270" i="17"/>
  <c r="B270" i="17"/>
  <c r="A270" i="17"/>
  <c r="E269" i="17"/>
  <c r="B269" i="17"/>
  <c r="A269" i="17"/>
  <c r="E268" i="17"/>
  <c r="B268" i="17"/>
  <c r="A268" i="17"/>
  <c r="E267" i="17"/>
  <c r="B267" i="17"/>
  <c r="A267" i="17"/>
  <c r="E266" i="17"/>
  <c r="B266" i="17"/>
  <c r="A266" i="17"/>
  <c r="E265" i="17"/>
  <c r="B265" i="17"/>
  <c r="A265" i="17"/>
  <c r="E264" i="17"/>
  <c r="B264" i="17"/>
  <c r="A264" i="17"/>
  <c r="E263" i="17"/>
  <c r="B263" i="17"/>
  <c r="A263" i="17"/>
  <c r="E262" i="17"/>
  <c r="B262" i="17"/>
  <c r="A262" i="17"/>
  <c r="E261" i="17"/>
  <c r="B261" i="17"/>
  <c r="A261" i="17"/>
  <c r="E260" i="17"/>
  <c r="B260" i="17"/>
  <c r="A260" i="17"/>
  <c r="E259" i="17"/>
  <c r="B259" i="17"/>
  <c r="A259" i="17"/>
  <c r="E258" i="17"/>
  <c r="B258" i="17"/>
  <c r="A258" i="17"/>
  <c r="E257" i="17"/>
  <c r="B257" i="17"/>
  <c r="A257" i="17"/>
  <c r="E256" i="17"/>
  <c r="B256" i="17"/>
  <c r="A256" i="17"/>
  <c r="E255" i="17"/>
  <c r="B255" i="17"/>
  <c r="A255" i="17"/>
  <c r="E254" i="17"/>
  <c r="B254" i="17"/>
  <c r="A254" i="17"/>
  <c r="E253" i="17"/>
  <c r="B253" i="17"/>
  <c r="A253" i="17"/>
  <c r="E252" i="17"/>
  <c r="B252" i="17"/>
  <c r="A252" i="17"/>
  <c r="E251" i="17"/>
  <c r="B251" i="17"/>
  <c r="A251" i="17"/>
  <c r="E250" i="17"/>
  <c r="B250" i="17"/>
  <c r="A250" i="17"/>
  <c r="E249" i="17"/>
  <c r="B249" i="17"/>
  <c r="A249" i="17"/>
  <c r="E248" i="17"/>
  <c r="B248" i="17"/>
  <c r="A248" i="17"/>
  <c r="E247" i="17"/>
  <c r="B247" i="17"/>
  <c r="A247" i="17"/>
  <c r="E246" i="17"/>
  <c r="B246" i="17"/>
  <c r="A246" i="17"/>
  <c r="E245" i="17"/>
  <c r="B245" i="17"/>
  <c r="A245" i="17"/>
  <c r="E244" i="17"/>
  <c r="B244" i="17"/>
  <c r="A244" i="17"/>
  <c r="E243" i="17"/>
  <c r="B243" i="17"/>
  <c r="A243" i="17"/>
  <c r="E242" i="17"/>
  <c r="B242" i="17"/>
  <c r="A242" i="17"/>
  <c r="E241" i="17"/>
  <c r="B241" i="17"/>
  <c r="A241" i="17"/>
  <c r="E240" i="17"/>
  <c r="B240" i="17"/>
  <c r="A240" i="17"/>
  <c r="E239" i="17"/>
  <c r="B239" i="17"/>
  <c r="A239" i="17"/>
  <c r="E238" i="17"/>
  <c r="B238" i="17"/>
  <c r="A238" i="17"/>
  <c r="E237" i="17"/>
  <c r="B237" i="17"/>
  <c r="A237" i="17"/>
  <c r="E236" i="17"/>
  <c r="B236" i="17"/>
  <c r="A236" i="17"/>
  <c r="E235" i="17"/>
  <c r="B235" i="17"/>
  <c r="A235" i="17"/>
  <c r="E234" i="17"/>
  <c r="B234" i="17"/>
  <c r="A234" i="17"/>
  <c r="E233" i="17"/>
  <c r="B233" i="17"/>
  <c r="A233" i="17"/>
  <c r="E232" i="17"/>
  <c r="B232" i="17"/>
  <c r="A232" i="17"/>
  <c r="E231" i="17"/>
  <c r="B231" i="17"/>
  <c r="A231" i="17"/>
  <c r="E230" i="17"/>
  <c r="B230" i="17"/>
  <c r="A230" i="17"/>
  <c r="E229" i="17"/>
  <c r="B229" i="17"/>
  <c r="A229" i="17"/>
  <c r="E228" i="17"/>
  <c r="B228" i="17"/>
  <c r="A228" i="17"/>
  <c r="E227" i="17"/>
  <c r="B227" i="17"/>
  <c r="A227" i="17"/>
  <c r="E226" i="17"/>
  <c r="B226" i="17"/>
  <c r="A226" i="17"/>
  <c r="E225" i="17"/>
  <c r="B225" i="17"/>
  <c r="A225" i="17"/>
  <c r="E224" i="17"/>
  <c r="B224" i="17"/>
  <c r="A224" i="17"/>
  <c r="E223" i="17"/>
  <c r="B223" i="17"/>
  <c r="A223" i="17"/>
  <c r="E222" i="17"/>
  <c r="B222" i="17"/>
  <c r="A222" i="17"/>
  <c r="E221" i="17"/>
  <c r="B221" i="17"/>
  <c r="A221" i="17"/>
  <c r="E220" i="17"/>
  <c r="B220" i="17"/>
  <c r="A220" i="17"/>
  <c r="E219" i="17"/>
  <c r="B219" i="17"/>
  <c r="A219" i="17"/>
  <c r="E218" i="17"/>
  <c r="B218" i="17"/>
  <c r="A218" i="17"/>
  <c r="E217" i="17"/>
  <c r="B217" i="17"/>
  <c r="A217" i="17"/>
  <c r="E216" i="17"/>
  <c r="B216" i="17"/>
  <c r="A216" i="17"/>
  <c r="E215" i="17"/>
  <c r="B215" i="17"/>
  <c r="A215" i="17"/>
  <c r="E214" i="17"/>
  <c r="B214" i="17"/>
  <c r="A214" i="17"/>
  <c r="E213" i="17"/>
  <c r="B213" i="17"/>
  <c r="A213" i="17"/>
  <c r="E212" i="17"/>
  <c r="B212" i="17"/>
  <c r="A212" i="17"/>
  <c r="E211" i="17"/>
  <c r="B211" i="17"/>
  <c r="A211" i="17"/>
  <c r="E210" i="17"/>
  <c r="B210" i="17"/>
  <c r="A210" i="17"/>
  <c r="E209" i="17"/>
  <c r="B209" i="17"/>
  <c r="A209" i="17"/>
  <c r="E208" i="17"/>
  <c r="B208" i="17"/>
  <c r="A208" i="17"/>
  <c r="E207" i="17"/>
  <c r="B207" i="17"/>
  <c r="A207" i="17"/>
  <c r="E206" i="17"/>
  <c r="B206" i="17"/>
  <c r="A206" i="17"/>
  <c r="E205" i="17"/>
  <c r="B205" i="17"/>
  <c r="A205" i="17"/>
  <c r="E204" i="17"/>
  <c r="B204" i="17"/>
  <c r="A204" i="17"/>
  <c r="E203" i="17"/>
  <c r="B203" i="17"/>
  <c r="A203" i="17"/>
  <c r="E202" i="17"/>
  <c r="B202" i="17"/>
  <c r="A202" i="17"/>
  <c r="E201" i="17"/>
  <c r="B201" i="17"/>
  <c r="A201" i="17"/>
  <c r="E200" i="17"/>
  <c r="B200" i="17"/>
  <c r="A200" i="17"/>
  <c r="E199" i="17"/>
  <c r="B199" i="17"/>
  <c r="A199" i="17"/>
  <c r="E198" i="17"/>
  <c r="B198" i="17"/>
  <c r="A198" i="17"/>
  <c r="E197" i="17"/>
  <c r="B197" i="17"/>
  <c r="A197" i="17"/>
  <c r="E196" i="17"/>
  <c r="B196" i="17"/>
  <c r="A196" i="17"/>
  <c r="E195" i="17"/>
  <c r="B195" i="17"/>
  <c r="A195" i="17"/>
  <c r="E194" i="17"/>
  <c r="B194" i="17"/>
  <c r="A194" i="17"/>
  <c r="E193" i="17"/>
  <c r="B193" i="17"/>
  <c r="A193" i="17"/>
  <c r="E192" i="17"/>
  <c r="B192" i="17"/>
  <c r="A192" i="17"/>
  <c r="E191" i="17"/>
  <c r="B191" i="17"/>
  <c r="A191" i="17"/>
  <c r="E190" i="17"/>
  <c r="B190" i="17"/>
  <c r="A190" i="17"/>
  <c r="E189" i="17"/>
  <c r="B189" i="17"/>
  <c r="A189" i="17"/>
  <c r="E188" i="17"/>
  <c r="B188" i="17"/>
  <c r="A188" i="17"/>
  <c r="E187" i="17"/>
  <c r="B187" i="17"/>
  <c r="A187" i="17"/>
  <c r="E186" i="17"/>
  <c r="B186" i="17"/>
  <c r="A186" i="17"/>
  <c r="E185" i="17"/>
  <c r="B185" i="17"/>
  <c r="A185" i="17"/>
  <c r="E184" i="17"/>
  <c r="B184" i="17"/>
  <c r="A184" i="17"/>
  <c r="E183" i="17"/>
  <c r="B183" i="17"/>
  <c r="A183" i="17"/>
  <c r="E182" i="17"/>
  <c r="B182" i="17"/>
  <c r="A182" i="17"/>
  <c r="E181" i="17"/>
  <c r="B181" i="17"/>
  <c r="A181" i="17"/>
  <c r="E180" i="17"/>
  <c r="B180" i="17"/>
  <c r="A180" i="17"/>
  <c r="E179" i="17"/>
  <c r="B179" i="17"/>
  <c r="A179" i="17"/>
  <c r="E178" i="17"/>
  <c r="B178" i="17"/>
  <c r="A178" i="17"/>
  <c r="E177" i="17"/>
  <c r="B177" i="17"/>
  <c r="A177" i="17"/>
  <c r="E176" i="17"/>
  <c r="B176" i="17"/>
  <c r="A176" i="17"/>
  <c r="E175" i="17"/>
  <c r="B175" i="17"/>
  <c r="A175" i="17"/>
  <c r="E174" i="17"/>
  <c r="B174" i="17"/>
  <c r="A174" i="17"/>
  <c r="E173" i="17"/>
  <c r="B173" i="17"/>
  <c r="A173" i="17"/>
  <c r="E172" i="17"/>
  <c r="B172" i="17"/>
  <c r="A172" i="17"/>
  <c r="E171" i="17"/>
  <c r="B171" i="17"/>
  <c r="A171" i="17"/>
  <c r="E170" i="17"/>
  <c r="B170" i="17"/>
  <c r="A170" i="17"/>
  <c r="E169" i="17"/>
  <c r="B169" i="17"/>
  <c r="A169" i="17"/>
  <c r="E168" i="17"/>
  <c r="B168" i="17"/>
  <c r="A168" i="17"/>
  <c r="E167" i="17"/>
  <c r="B167" i="17"/>
  <c r="A167" i="17"/>
  <c r="E166" i="17"/>
  <c r="B166" i="17"/>
  <c r="E165" i="17"/>
  <c r="B165" i="17"/>
  <c r="E164" i="17"/>
  <c r="B164" i="17"/>
  <c r="E163" i="17"/>
  <c r="B163" i="17"/>
  <c r="E162" i="17"/>
  <c r="B162" i="17"/>
  <c r="E161" i="17"/>
  <c r="B161" i="17"/>
  <c r="E160" i="17"/>
  <c r="B160" i="17"/>
  <c r="E159" i="17"/>
  <c r="B159" i="17"/>
  <c r="E158" i="17"/>
  <c r="B158" i="17"/>
  <c r="E157" i="17"/>
  <c r="B157" i="17"/>
  <c r="E156" i="17"/>
  <c r="B156" i="17"/>
  <c r="E155" i="17"/>
  <c r="B155" i="17"/>
  <c r="E154" i="17"/>
  <c r="B154" i="17"/>
  <c r="E153" i="17"/>
  <c r="B153" i="17"/>
  <c r="E152" i="17"/>
  <c r="B152" i="17"/>
  <c r="E151" i="17"/>
  <c r="B151" i="17"/>
  <c r="E150" i="17"/>
  <c r="B150" i="17"/>
  <c r="E149" i="17"/>
  <c r="B149" i="17"/>
  <c r="E148" i="17"/>
  <c r="B148" i="17"/>
  <c r="E147" i="17"/>
  <c r="B147" i="17"/>
  <c r="E146" i="17"/>
  <c r="B146" i="17"/>
  <c r="E145" i="17"/>
  <c r="B145" i="17"/>
  <c r="E144" i="17"/>
  <c r="B144" i="17"/>
  <c r="E143" i="17"/>
  <c r="B143" i="17"/>
  <c r="E142" i="17"/>
  <c r="B142" i="17"/>
  <c r="E141" i="17"/>
  <c r="B141" i="17"/>
  <c r="E140" i="17"/>
  <c r="B140" i="17"/>
  <c r="E139" i="17"/>
  <c r="B139" i="17"/>
  <c r="E138" i="17"/>
  <c r="B138" i="17"/>
  <c r="E137" i="17"/>
  <c r="B137" i="17"/>
  <c r="E136" i="17"/>
  <c r="B136" i="17"/>
  <c r="E135" i="17"/>
  <c r="B135" i="17"/>
  <c r="E134" i="17"/>
  <c r="B134" i="17"/>
  <c r="E133" i="17"/>
  <c r="B133" i="17"/>
  <c r="E132" i="17"/>
  <c r="B132" i="17"/>
  <c r="E131" i="17"/>
  <c r="B131" i="17"/>
  <c r="E130" i="17"/>
  <c r="B130" i="17"/>
  <c r="E129" i="17"/>
  <c r="B129" i="17"/>
  <c r="E128" i="17"/>
  <c r="B128" i="17"/>
  <c r="E127" i="17"/>
  <c r="B127" i="17"/>
  <c r="E126" i="17"/>
  <c r="B126" i="17"/>
  <c r="E125" i="17"/>
  <c r="B125" i="17"/>
  <c r="E124" i="17"/>
  <c r="B124" i="17"/>
  <c r="E123" i="17"/>
  <c r="B123" i="17"/>
  <c r="E122" i="17"/>
  <c r="B122" i="17"/>
  <c r="E121" i="17"/>
  <c r="B121" i="17"/>
  <c r="E120" i="17"/>
  <c r="B120" i="17"/>
  <c r="E119" i="17"/>
  <c r="B119" i="17"/>
  <c r="E118" i="17"/>
  <c r="B118" i="17"/>
  <c r="E117" i="17"/>
  <c r="B117" i="17"/>
  <c r="E116" i="17"/>
  <c r="B116" i="17"/>
  <c r="E115" i="17"/>
  <c r="B115" i="17"/>
  <c r="E114" i="17"/>
  <c r="B114" i="17"/>
  <c r="E113" i="17"/>
  <c r="B113" i="17"/>
  <c r="E112" i="17"/>
  <c r="B112" i="17"/>
  <c r="E111" i="17"/>
  <c r="B111" i="17"/>
  <c r="E110" i="17"/>
  <c r="B110" i="17"/>
  <c r="E109" i="17"/>
  <c r="B109" i="17"/>
  <c r="E108" i="17"/>
  <c r="B108" i="17"/>
  <c r="E107" i="17"/>
  <c r="B107" i="17"/>
  <c r="E106" i="17"/>
  <c r="B106" i="17"/>
  <c r="E105" i="17"/>
  <c r="B105" i="17"/>
  <c r="E104" i="17"/>
  <c r="B104" i="17"/>
  <c r="E103" i="17"/>
  <c r="B103" i="17"/>
  <c r="E102" i="17"/>
  <c r="B102" i="17"/>
  <c r="E101" i="17"/>
  <c r="B101" i="17"/>
  <c r="E100" i="17"/>
  <c r="B100" i="17"/>
  <c r="E99" i="17"/>
  <c r="B99" i="17"/>
  <c r="E98" i="17"/>
  <c r="B98" i="17"/>
  <c r="E97" i="17"/>
  <c r="B97" i="17"/>
  <c r="E96" i="17"/>
  <c r="B96" i="17"/>
  <c r="E95" i="17"/>
  <c r="B95" i="17"/>
  <c r="E94" i="17"/>
  <c r="B94" i="17"/>
  <c r="E93" i="17"/>
  <c r="B93" i="17"/>
  <c r="E92" i="17"/>
  <c r="B92" i="17"/>
  <c r="E91" i="17"/>
  <c r="B91" i="17"/>
  <c r="E90" i="17"/>
  <c r="B90" i="17"/>
  <c r="E89" i="17"/>
  <c r="B89" i="17"/>
  <c r="E88" i="17"/>
  <c r="B88" i="17"/>
  <c r="E87" i="17"/>
  <c r="B87" i="17"/>
  <c r="E86" i="17"/>
  <c r="B86" i="17"/>
  <c r="E85" i="17"/>
  <c r="B85" i="17"/>
  <c r="E84" i="17"/>
  <c r="B84" i="17"/>
  <c r="E83" i="17"/>
  <c r="B83" i="17"/>
  <c r="E82" i="17"/>
  <c r="B82" i="17"/>
  <c r="E81" i="17"/>
  <c r="B81" i="17"/>
  <c r="E80" i="17"/>
  <c r="B80" i="17"/>
  <c r="E79" i="17"/>
  <c r="B79" i="17"/>
  <c r="E78" i="17"/>
  <c r="B78" i="17"/>
  <c r="E77" i="17"/>
  <c r="B77" i="17"/>
  <c r="E76" i="17"/>
  <c r="B76" i="17"/>
  <c r="E75" i="17"/>
  <c r="B75" i="17"/>
  <c r="E74" i="17"/>
  <c r="B74" i="17"/>
  <c r="E73" i="17"/>
  <c r="B73" i="17"/>
  <c r="E72" i="17"/>
  <c r="B72" i="17"/>
  <c r="A72" i="17"/>
  <c r="E71" i="17"/>
  <c r="B71" i="17"/>
  <c r="A71" i="17"/>
  <c r="E70" i="17"/>
  <c r="B70" i="17"/>
  <c r="A70" i="17"/>
  <c r="E69" i="17"/>
  <c r="B69" i="17"/>
  <c r="A69" i="17"/>
  <c r="E68" i="17"/>
  <c r="B68" i="17"/>
  <c r="A68" i="17"/>
  <c r="E67" i="17"/>
  <c r="B67" i="17"/>
  <c r="A67" i="17"/>
  <c r="E66" i="17"/>
  <c r="B66" i="17"/>
  <c r="A66" i="17"/>
  <c r="E65" i="17"/>
  <c r="B65" i="17"/>
  <c r="A65" i="17"/>
  <c r="E64" i="17"/>
  <c r="B64" i="17"/>
  <c r="A64" i="17"/>
  <c r="E63" i="17"/>
  <c r="B63" i="17"/>
  <c r="A63" i="17"/>
  <c r="E62" i="17"/>
  <c r="B62" i="17"/>
  <c r="A62" i="17"/>
  <c r="E61" i="17"/>
  <c r="B61" i="17"/>
  <c r="A61" i="17"/>
  <c r="E60" i="17"/>
  <c r="B60" i="17"/>
  <c r="A60" i="17"/>
  <c r="E59" i="17"/>
  <c r="B59" i="17"/>
  <c r="A59" i="17"/>
  <c r="E58" i="17"/>
  <c r="B58" i="17"/>
  <c r="A58" i="17"/>
  <c r="E57" i="17"/>
  <c r="B57" i="17"/>
  <c r="A57" i="17"/>
  <c r="E56" i="17"/>
  <c r="B56" i="17"/>
  <c r="A56" i="17"/>
  <c r="E55" i="17"/>
  <c r="B55" i="17"/>
  <c r="A55" i="17"/>
  <c r="E54" i="17"/>
  <c r="B54" i="17"/>
  <c r="A54" i="17"/>
  <c r="E53" i="17"/>
  <c r="B53" i="17"/>
  <c r="A53" i="17"/>
  <c r="E52" i="17"/>
  <c r="B52" i="17"/>
  <c r="A52" i="17"/>
  <c r="E51" i="17"/>
  <c r="B51" i="17"/>
  <c r="A51" i="17"/>
  <c r="E50" i="17"/>
  <c r="B50" i="17"/>
  <c r="A50" i="17"/>
  <c r="E49" i="17"/>
  <c r="B49" i="17"/>
  <c r="A49" i="17"/>
  <c r="E48" i="17"/>
  <c r="B48" i="17"/>
  <c r="A48" i="17"/>
  <c r="E47" i="17"/>
  <c r="B47" i="17"/>
  <c r="A47" i="17"/>
  <c r="E46" i="17"/>
  <c r="B46" i="17"/>
  <c r="A46" i="17"/>
  <c r="E45" i="17"/>
  <c r="B45" i="17"/>
  <c r="A45" i="17"/>
  <c r="E44" i="17"/>
  <c r="B44" i="17"/>
  <c r="A44" i="17"/>
  <c r="E43" i="17"/>
  <c r="B43" i="17"/>
  <c r="A43" i="17"/>
  <c r="E42" i="17"/>
  <c r="B42" i="17"/>
  <c r="A42" i="17"/>
  <c r="E41" i="17"/>
  <c r="B41" i="17"/>
  <c r="A41" i="17"/>
  <c r="E40" i="17"/>
  <c r="B40" i="17"/>
  <c r="A40" i="17"/>
  <c r="E39" i="17"/>
  <c r="B39" i="17"/>
  <c r="E38" i="17"/>
  <c r="B38" i="17"/>
  <c r="E37" i="17"/>
  <c r="B37" i="17"/>
  <c r="E36" i="17"/>
  <c r="B36" i="17"/>
  <c r="E35" i="17"/>
  <c r="B35" i="17"/>
  <c r="E34" i="17"/>
  <c r="B34" i="17"/>
  <c r="E33" i="17"/>
  <c r="B33" i="17"/>
  <c r="E32" i="17"/>
  <c r="B32" i="17"/>
  <c r="E31" i="17"/>
  <c r="B31" i="17"/>
  <c r="E30" i="17"/>
  <c r="B30" i="17"/>
  <c r="E29" i="17"/>
  <c r="B29" i="17"/>
  <c r="E28" i="17"/>
  <c r="B28" i="17"/>
  <c r="E27" i="17"/>
  <c r="B27" i="17"/>
  <c r="E26" i="17"/>
  <c r="B26" i="17"/>
  <c r="E25" i="17"/>
  <c r="B25" i="17"/>
  <c r="E24" i="17"/>
  <c r="B24" i="17"/>
  <c r="E23" i="17"/>
  <c r="B23" i="17"/>
  <c r="E22" i="17"/>
  <c r="B22" i="17"/>
  <c r="E21" i="17"/>
  <c r="B21" i="17"/>
  <c r="E20" i="17"/>
  <c r="B20" i="17"/>
  <c r="E19" i="17"/>
  <c r="B19" i="17"/>
  <c r="E18" i="17"/>
  <c r="B18" i="17"/>
  <c r="E17" i="17"/>
  <c r="B17" i="17"/>
  <c r="E16" i="17"/>
  <c r="B16" i="17"/>
  <c r="E15" i="17"/>
  <c r="B15" i="17"/>
  <c r="E14" i="17"/>
  <c r="B14" i="17"/>
  <c r="E13" i="17"/>
  <c r="B13" i="17"/>
  <c r="E12" i="17"/>
  <c r="B12" i="17"/>
  <c r="E11" i="17"/>
  <c r="B11" i="17"/>
  <c r="E10" i="17"/>
  <c r="B10" i="17"/>
  <c r="E9" i="17"/>
  <c r="B9" i="17"/>
  <c r="E8" i="17"/>
  <c r="B8" i="17"/>
  <c r="E7" i="17"/>
  <c r="B7" i="17"/>
  <c r="E6" i="17"/>
  <c r="B6" i="17"/>
  <c r="E5" i="17"/>
  <c r="B5" i="17"/>
  <c r="E4" i="17"/>
  <c r="B4" i="17"/>
  <c r="E3" i="17"/>
  <c r="B3" i="17"/>
  <c r="E2" i="17"/>
  <c r="B2" i="17"/>
  <c r="L96" i="2" l="1"/>
  <c r="M96" i="2"/>
  <c r="N96" i="2"/>
  <c r="K96" i="2"/>
  <c r="S92" i="2" l="1"/>
  <c r="R92" i="2"/>
  <c r="V92" i="2" s="1"/>
  <c r="Q92" i="2"/>
  <c r="U92" i="2" s="1"/>
  <c r="P92" i="2"/>
  <c r="T92" i="2" s="1"/>
  <c r="O92" i="2"/>
  <c r="R91" i="2"/>
  <c r="V91" i="2" s="1"/>
  <c r="Q91" i="2"/>
  <c r="U91" i="2" s="1"/>
  <c r="P91" i="2"/>
  <c r="T91" i="2" s="1"/>
  <c r="O91" i="2"/>
  <c r="S91" i="2" s="1"/>
  <c r="R90" i="2"/>
  <c r="V90" i="2" s="1"/>
  <c r="Q90" i="2"/>
  <c r="U90" i="2" s="1"/>
  <c r="P90" i="2"/>
  <c r="T90" i="2" s="1"/>
  <c r="O90" i="2"/>
  <c r="S90" i="2" s="1"/>
  <c r="R89" i="2"/>
  <c r="V89" i="2" s="1"/>
  <c r="Q89" i="2"/>
  <c r="U89" i="2" s="1"/>
  <c r="P89" i="2"/>
  <c r="T89" i="2" s="1"/>
  <c r="O89" i="2"/>
  <c r="S89" i="2" s="1"/>
  <c r="R88" i="2"/>
  <c r="V88" i="2" s="1"/>
  <c r="Q88" i="2"/>
  <c r="U88" i="2" s="1"/>
  <c r="P88" i="2"/>
  <c r="T88" i="2" s="1"/>
  <c r="O88" i="2"/>
  <c r="S88" i="2" s="1"/>
  <c r="R87" i="2"/>
  <c r="V87" i="2" s="1"/>
  <c r="Q87" i="2"/>
  <c r="U87" i="2" s="1"/>
  <c r="P87" i="2"/>
  <c r="T87" i="2" s="1"/>
  <c r="O87" i="2"/>
  <c r="S87" i="2" s="1"/>
  <c r="R86" i="2"/>
  <c r="V86" i="2" s="1"/>
  <c r="Q86" i="2"/>
  <c r="U86" i="2" s="1"/>
  <c r="P86" i="2"/>
  <c r="T86" i="2" s="1"/>
  <c r="O86" i="2"/>
  <c r="S86" i="2" s="1"/>
  <c r="R85" i="2"/>
  <c r="V85" i="2" s="1"/>
  <c r="Q85" i="2"/>
  <c r="U85" i="2" s="1"/>
  <c r="P85" i="2"/>
  <c r="T85" i="2" s="1"/>
  <c r="O85" i="2"/>
  <c r="S85" i="2" s="1"/>
  <c r="R84" i="2"/>
  <c r="V84" i="2" s="1"/>
  <c r="Q84" i="2"/>
  <c r="U84" i="2" s="1"/>
  <c r="P84" i="2"/>
  <c r="T84" i="2" s="1"/>
  <c r="O84" i="2"/>
  <c r="S84" i="2" s="1"/>
  <c r="R83" i="2"/>
  <c r="V83" i="2" s="1"/>
  <c r="Q83" i="2"/>
  <c r="U83" i="2" s="1"/>
  <c r="P83" i="2"/>
  <c r="T83" i="2" s="1"/>
  <c r="O83" i="2"/>
  <c r="S83" i="2" s="1"/>
  <c r="R82" i="2"/>
  <c r="V82" i="2" s="1"/>
  <c r="Q82" i="2"/>
  <c r="U82" i="2" s="1"/>
  <c r="P82" i="2"/>
  <c r="T82" i="2" s="1"/>
  <c r="O82" i="2"/>
  <c r="S82" i="2" s="1"/>
  <c r="R81" i="2"/>
  <c r="V81" i="2" s="1"/>
  <c r="Q81" i="2"/>
  <c r="U81" i="2" s="1"/>
  <c r="P81" i="2"/>
  <c r="T81" i="2" s="1"/>
  <c r="O81" i="2"/>
  <c r="S81" i="2" s="1"/>
  <c r="R80" i="2"/>
  <c r="V80" i="2" s="1"/>
  <c r="Q80" i="2"/>
  <c r="U80" i="2" s="1"/>
  <c r="P80" i="2"/>
  <c r="T80" i="2" s="1"/>
  <c r="O80" i="2"/>
  <c r="S80" i="2" s="1"/>
  <c r="R79" i="2"/>
  <c r="V79" i="2" s="1"/>
  <c r="Q79" i="2"/>
  <c r="U79" i="2" s="1"/>
  <c r="P79" i="2"/>
  <c r="T79" i="2" s="1"/>
  <c r="O79" i="2"/>
  <c r="S79" i="2" s="1"/>
  <c r="R78" i="2"/>
  <c r="V78" i="2" s="1"/>
  <c r="Q78" i="2"/>
  <c r="U78" i="2" s="1"/>
  <c r="P78" i="2"/>
  <c r="T78" i="2" s="1"/>
  <c r="O78" i="2"/>
  <c r="S78" i="2" s="1"/>
  <c r="R77" i="2"/>
  <c r="V77" i="2" s="1"/>
  <c r="Q77" i="2"/>
  <c r="U77" i="2" s="1"/>
  <c r="P77" i="2"/>
  <c r="T77" i="2" s="1"/>
  <c r="O77" i="2"/>
  <c r="S77" i="2" s="1"/>
  <c r="R76" i="2"/>
  <c r="V76" i="2" s="1"/>
  <c r="Q76" i="2"/>
  <c r="U76" i="2" s="1"/>
  <c r="P76" i="2"/>
  <c r="T76" i="2" s="1"/>
  <c r="O76" i="2"/>
  <c r="S76" i="2" s="1"/>
  <c r="R75" i="2"/>
  <c r="V75" i="2" s="1"/>
  <c r="Q75" i="2"/>
  <c r="U75" i="2" s="1"/>
  <c r="P75" i="2"/>
  <c r="T75" i="2" s="1"/>
  <c r="O75" i="2"/>
  <c r="S75" i="2" s="1"/>
  <c r="R74" i="2"/>
  <c r="V74" i="2" s="1"/>
  <c r="Q74" i="2"/>
  <c r="U74" i="2" s="1"/>
  <c r="P74" i="2"/>
  <c r="T74" i="2" s="1"/>
  <c r="O74" i="2"/>
  <c r="S74" i="2" s="1"/>
  <c r="R73" i="2"/>
  <c r="V73" i="2" s="1"/>
  <c r="Q73" i="2"/>
  <c r="U73" i="2" s="1"/>
  <c r="P73" i="2"/>
  <c r="T73" i="2" s="1"/>
  <c r="O73" i="2"/>
  <c r="S73" i="2" s="1"/>
  <c r="R72" i="2"/>
  <c r="V72" i="2" s="1"/>
  <c r="Q72" i="2"/>
  <c r="U72" i="2" s="1"/>
  <c r="P72" i="2"/>
  <c r="T72" i="2" s="1"/>
  <c r="O72" i="2"/>
  <c r="S72" i="2" s="1"/>
  <c r="R71" i="2"/>
  <c r="V71" i="2" s="1"/>
  <c r="Q71" i="2"/>
  <c r="U71" i="2" s="1"/>
  <c r="P71" i="2"/>
  <c r="T71" i="2" s="1"/>
  <c r="O71" i="2"/>
  <c r="S71" i="2" s="1"/>
  <c r="R70" i="2"/>
  <c r="V70" i="2" s="1"/>
  <c r="Q70" i="2"/>
  <c r="U70" i="2" s="1"/>
  <c r="P70" i="2"/>
  <c r="T70" i="2" s="1"/>
  <c r="O70" i="2"/>
  <c r="S70" i="2" s="1"/>
  <c r="R69" i="2"/>
  <c r="V69" i="2" s="1"/>
  <c r="Q69" i="2"/>
  <c r="U69" i="2" s="1"/>
  <c r="P69" i="2"/>
  <c r="T69" i="2" s="1"/>
  <c r="O69" i="2"/>
  <c r="S69" i="2" s="1"/>
  <c r="R68" i="2"/>
  <c r="V68" i="2" s="1"/>
  <c r="Q68" i="2"/>
  <c r="U68" i="2" s="1"/>
  <c r="P68" i="2"/>
  <c r="T68" i="2" s="1"/>
  <c r="O68" i="2"/>
  <c r="S68" i="2" s="1"/>
  <c r="R67" i="2"/>
  <c r="V67" i="2" s="1"/>
  <c r="Q67" i="2"/>
  <c r="U67" i="2" s="1"/>
  <c r="P67" i="2"/>
  <c r="T67" i="2" s="1"/>
  <c r="O67" i="2"/>
  <c r="S67" i="2" s="1"/>
  <c r="R66" i="2"/>
  <c r="V66" i="2" s="1"/>
  <c r="Q66" i="2"/>
  <c r="U66" i="2" s="1"/>
  <c r="P66" i="2"/>
  <c r="T66" i="2" s="1"/>
  <c r="O66" i="2"/>
  <c r="S66" i="2" s="1"/>
  <c r="R65" i="2"/>
  <c r="V65" i="2" s="1"/>
  <c r="Q65" i="2"/>
  <c r="U65" i="2" s="1"/>
  <c r="P65" i="2"/>
  <c r="T65" i="2" s="1"/>
  <c r="O65" i="2"/>
  <c r="S65" i="2" s="1"/>
  <c r="R64" i="2"/>
  <c r="V64" i="2" s="1"/>
  <c r="Q64" i="2"/>
  <c r="U64" i="2" s="1"/>
  <c r="P64" i="2"/>
  <c r="T64" i="2" s="1"/>
  <c r="O64" i="2"/>
  <c r="S64" i="2" s="1"/>
  <c r="R63" i="2"/>
  <c r="V63" i="2" s="1"/>
  <c r="Q63" i="2"/>
  <c r="U63" i="2" s="1"/>
  <c r="P63" i="2"/>
  <c r="T63" i="2" s="1"/>
  <c r="O63" i="2"/>
  <c r="S63" i="2" s="1"/>
  <c r="R62" i="2"/>
  <c r="V62" i="2" s="1"/>
  <c r="Q62" i="2"/>
  <c r="U62" i="2" s="1"/>
  <c r="P62" i="2"/>
  <c r="T62" i="2" s="1"/>
  <c r="O62" i="2"/>
  <c r="S62" i="2" s="1"/>
  <c r="R61" i="2"/>
  <c r="V61" i="2" s="1"/>
  <c r="Q61" i="2"/>
  <c r="U61" i="2" s="1"/>
  <c r="P61" i="2"/>
  <c r="T61" i="2" s="1"/>
  <c r="O61" i="2"/>
  <c r="S61" i="2" s="1"/>
  <c r="R60" i="2"/>
  <c r="V60" i="2" s="1"/>
  <c r="Q60" i="2"/>
  <c r="U60" i="2" s="1"/>
  <c r="P60" i="2"/>
  <c r="T60" i="2" s="1"/>
  <c r="O60" i="2"/>
  <c r="S60" i="2" s="1"/>
  <c r="R59" i="2"/>
  <c r="V59" i="2" s="1"/>
  <c r="Q59" i="2"/>
  <c r="U59" i="2" s="1"/>
  <c r="P59" i="2"/>
  <c r="T59" i="2" s="1"/>
  <c r="O59" i="2"/>
  <c r="S59" i="2" s="1"/>
  <c r="R58" i="2"/>
  <c r="V58" i="2" s="1"/>
  <c r="Q58" i="2"/>
  <c r="U58" i="2" s="1"/>
  <c r="P58" i="2"/>
  <c r="T58" i="2" s="1"/>
  <c r="O58" i="2"/>
  <c r="S58" i="2" s="1"/>
  <c r="R57" i="2"/>
  <c r="V57" i="2" s="1"/>
  <c r="Q57" i="2"/>
  <c r="U57" i="2" s="1"/>
  <c r="P57" i="2"/>
  <c r="T57" i="2" s="1"/>
  <c r="O57" i="2"/>
  <c r="S57" i="2" s="1"/>
  <c r="R56" i="2"/>
  <c r="V56" i="2" s="1"/>
  <c r="Q56" i="2"/>
  <c r="U56" i="2" s="1"/>
  <c r="P56" i="2"/>
  <c r="T56" i="2" s="1"/>
  <c r="O56" i="2"/>
  <c r="S56" i="2" s="1"/>
  <c r="R55" i="2"/>
  <c r="V55" i="2" s="1"/>
  <c r="Q55" i="2"/>
  <c r="U55" i="2" s="1"/>
  <c r="P55" i="2"/>
  <c r="T55" i="2" s="1"/>
  <c r="O55" i="2"/>
  <c r="S55" i="2" s="1"/>
  <c r="R54" i="2"/>
  <c r="V54" i="2" s="1"/>
  <c r="Q54" i="2"/>
  <c r="U54" i="2" s="1"/>
  <c r="P54" i="2"/>
  <c r="T54" i="2" s="1"/>
  <c r="O54" i="2"/>
  <c r="S54" i="2" s="1"/>
  <c r="R53" i="2"/>
  <c r="V53" i="2" s="1"/>
  <c r="Q53" i="2"/>
  <c r="U53" i="2" s="1"/>
  <c r="P53" i="2"/>
  <c r="T53" i="2" s="1"/>
  <c r="O53" i="2"/>
  <c r="S53" i="2" s="1"/>
  <c r="R52" i="2"/>
  <c r="V52" i="2" s="1"/>
  <c r="Q52" i="2"/>
  <c r="U52" i="2" s="1"/>
  <c r="P52" i="2"/>
  <c r="T52" i="2" s="1"/>
  <c r="O52" i="2"/>
  <c r="S52" i="2" s="1"/>
  <c r="R51" i="2"/>
  <c r="V51" i="2" s="1"/>
  <c r="Q51" i="2"/>
  <c r="U51" i="2" s="1"/>
  <c r="P51" i="2"/>
  <c r="T51" i="2" s="1"/>
  <c r="O51" i="2"/>
  <c r="S51" i="2" s="1"/>
  <c r="R50" i="2"/>
  <c r="V50" i="2" s="1"/>
  <c r="Q50" i="2"/>
  <c r="U50" i="2" s="1"/>
  <c r="P50" i="2"/>
  <c r="T50" i="2" s="1"/>
  <c r="O50" i="2"/>
  <c r="S50" i="2" s="1"/>
  <c r="R49" i="2"/>
  <c r="V49" i="2" s="1"/>
  <c r="Q49" i="2"/>
  <c r="U49" i="2" s="1"/>
  <c r="P49" i="2"/>
  <c r="T49" i="2" s="1"/>
  <c r="O49" i="2"/>
  <c r="S49" i="2" s="1"/>
  <c r="R48" i="2"/>
  <c r="V48" i="2" s="1"/>
  <c r="Q48" i="2"/>
  <c r="U48" i="2" s="1"/>
  <c r="P48" i="2"/>
  <c r="T48" i="2" s="1"/>
  <c r="O48" i="2"/>
  <c r="S48" i="2" s="1"/>
  <c r="R47" i="2"/>
  <c r="V47" i="2" s="1"/>
  <c r="Q47" i="2"/>
  <c r="U47" i="2" s="1"/>
  <c r="P47" i="2"/>
  <c r="T47" i="2" s="1"/>
  <c r="O47" i="2"/>
  <c r="S47" i="2" s="1"/>
  <c r="R46" i="2"/>
  <c r="V46" i="2" s="1"/>
  <c r="Q46" i="2"/>
  <c r="U46" i="2" s="1"/>
  <c r="P46" i="2"/>
  <c r="T46" i="2" s="1"/>
  <c r="O46" i="2"/>
  <c r="S46" i="2" s="1"/>
  <c r="R45" i="2"/>
  <c r="V45" i="2" s="1"/>
  <c r="Q45" i="2"/>
  <c r="U45" i="2" s="1"/>
  <c r="P45" i="2"/>
  <c r="T45" i="2" s="1"/>
  <c r="O45" i="2"/>
  <c r="S45" i="2" s="1"/>
  <c r="R44" i="2"/>
  <c r="V44" i="2" s="1"/>
  <c r="Q44" i="2"/>
  <c r="U44" i="2" s="1"/>
  <c r="P44" i="2"/>
  <c r="T44" i="2" s="1"/>
  <c r="O44" i="2"/>
  <c r="S44" i="2" s="1"/>
  <c r="R43" i="2"/>
  <c r="V43" i="2" s="1"/>
  <c r="Q43" i="2"/>
  <c r="U43" i="2" s="1"/>
  <c r="P43" i="2"/>
  <c r="T43" i="2" s="1"/>
  <c r="O43" i="2"/>
  <c r="S43" i="2" s="1"/>
  <c r="R42" i="2"/>
  <c r="V42" i="2" s="1"/>
  <c r="Q42" i="2"/>
  <c r="U42" i="2" s="1"/>
  <c r="P42" i="2"/>
  <c r="T42" i="2" s="1"/>
  <c r="O42" i="2"/>
  <c r="S42" i="2" s="1"/>
  <c r="R41" i="2"/>
  <c r="V41" i="2" s="1"/>
  <c r="Q41" i="2"/>
  <c r="U41" i="2" s="1"/>
  <c r="P41" i="2"/>
  <c r="T41" i="2" s="1"/>
  <c r="O41" i="2"/>
  <c r="S41" i="2" s="1"/>
  <c r="R40" i="2"/>
  <c r="V40" i="2" s="1"/>
  <c r="Q40" i="2"/>
  <c r="U40" i="2" s="1"/>
  <c r="P40" i="2"/>
  <c r="T40" i="2" s="1"/>
  <c r="O40" i="2"/>
  <c r="S40" i="2" s="1"/>
  <c r="R39" i="2"/>
  <c r="V39" i="2" s="1"/>
  <c r="Q39" i="2"/>
  <c r="U39" i="2" s="1"/>
  <c r="P39" i="2"/>
  <c r="T39" i="2" s="1"/>
  <c r="O39" i="2"/>
  <c r="S39" i="2" s="1"/>
  <c r="R38" i="2"/>
  <c r="V38" i="2" s="1"/>
  <c r="Q38" i="2"/>
  <c r="U38" i="2" s="1"/>
  <c r="P38" i="2"/>
  <c r="T38" i="2" s="1"/>
  <c r="O38" i="2"/>
  <c r="S38" i="2" s="1"/>
  <c r="R37" i="2"/>
  <c r="V37" i="2" s="1"/>
  <c r="Q37" i="2"/>
  <c r="U37" i="2" s="1"/>
  <c r="P37" i="2"/>
  <c r="T37" i="2" s="1"/>
  <c r="O37" i="2"/>
  <c r="S37" i="2" s="1"/>
  <c r="R36" i="2"/>
  <c r="V36" i="2" s="1"/>
  <c r="Q36" i="2"/>
  <c r="U36" i="2" s="1"/>
  <c r="P36" i="2"/>
  <c r="T36" i="2" s="1"/>
  <c r="O36" i="2"/>
  <c r="S36" i="2" s="1"/>
  <c r="R35" i="2"/>
  <c r="V35" i="2" s="1"/>
  <c r="Q35" i="2"/>
  <c r="U35" i="2" s="1"/>
  <c r="P35" i="2"/>
  <c r="T35" i="2" s="1"/>
  <c r="O35" i="2"/>
  <c r="S35" i="2" s="1"/>
  <c r="R34" i="2"/>
  <c r="V34" i="2" s="1"/>
  <c r="Q34" i="2"/>
  <c r="U34" i="2" s="1"/>
  <c r="P34" i="2"/>
  <c r="T34" i="2" s="1"/>
  <c r="O34" i="2"/>
  <c r="S34" i="2" s="1"/>
  <c r="R33" i="2"/>
  <c r="V33" i="2" s="1"/>
  <c r="Q33" i="2"/>
  <c r="U33" i="2" s="1"/>
  <c r="P33" i="2"/>
  <c r="T33" i="2" s="1"/>
  <c r="O33" i="2"/>
  <c r="S33" i="2" s="1"/>
  <c r="R32" i="2"/>
  <c r="V32" i="2" s="1"/>
  <c r="Q32" i="2"/>
  <c r="U32" i="2" s="1"/>
  <c r="P32" i="2"/>
  <c r="T32" i="2" s="1"/>
  <c r="O32" i="2"/>
  <c r="S32" i="2" s="1"/>
  <c r="R31" i="2"/>
  <c r="V31" i="2" s="1"/>
  <c r="Q31" i="2"/>
  <c r="U31" i="2" s="1"/>
  <c r="P31" i="2"/>
  <c r="T31" i="2" s="1"/>
  <c r="O31" i="2"/>
  <c r="S31" i="2" s="1"/>
  <c r="R30" i="2"/>
  <c r="V30" i="2" s="1"/>
  <c r="Q30" i="2"/>
  <c r="U30" i="2" s="1"/>
  <c r="P30" i="2"/>
  <c r="T30" i="2" s="1"/>
  <c r="O30" i="2"/>
  <c r="S30" i="2" s="1"/>
  <c r="R29" i="2"/>
  <c r="V29" i="2" s="1"/>
  <c r="Q29" i="2"/>
  <c r="U29" i="2" s="1"/>
  <c r="P29" i="2"/>
  <c r="T29" i="2" s="1"/>
  <c r="O29" i="2"/>
  <c r="S29" i="2" s="1"/>
  <c r="R28" i="2"/>
  <c r="V28" i="2" s="1"/>
  <c r="Q28" i="2"/>
  <c r="U28" i="2" s="1"/>
  <c r="P28" i="2"/>
  <c r="T28" i="2" s="1"/>
  <c r="O28" i="2"/>
  <c r="S28" i="2" s="1"/>
  <c r="R27" i="2"/>
  <c r="V27" i="2" s="1"/>
  <c r="Q27" i="2"/>
  <c r="U27" i="2" s="1"/>
  <c r="P27" i="2"/>
  <c r="T27" i="2" s="1"/>
  <c r="O27" i="2"/>
  <c r="S27" i="2" s="1"/>
  <c r="R26" i="2"/>
  <c r="V26" i="2" s="1"/>
  <c r="Q26" i="2"/>
  <c r="U26" i="2" s="1"/>
  <c r="P26" i="2"/>
  <c r="T26" i="2" s="1"/>
  <c r="O26" i="2"/>
  <c r="S26" i="2" s="1"/>
  <c r="R25" i="2"/>
  <c r="V25" i="2" s="1"/>
  <c r="Q25" i="2"/>
  <c r="U25" i="2" s="1"/>
  <c r="P25" i="2"/>
  <c r="T25" i="2" s="1"/>
  <c r="O25" i="2"/>
  <c r="S25" i="2" s="1"/>
  <c r="R24" i="2"/>
  <c r="V24" i="2" s="1"/>
  <c r="Q24" i="2"/>
  <c r="U24" i="2" s="1"/>
  <c r="P24" i="2"/>
  <c r="T24" i="2" s="1"/>
  <c r="O24" i="2"/>
  <c r="S24" i="2" s="1"/>
  <c r="R23" i="2"/>
  <c r="V23" i="2" s="1"/>
  <c r="Q23" i="2"/>
  <c r="U23" i="2" s="1"/>
  <c r="P23" i="2"/>
  <c r="T23" i="2" s="1"/>
  <c r="O23" i="2"/>
  <c r="S23" i="2" s="1"/>
  <c r="R22" i="2"/>
  <c r="V22" i="2" s="1"/>
  <c r="Q22" i="2"/>
  <c r="U22" i="2" s="1"/>
  <c r="P22" i="2"/>
  <c r="T22" i="2" s="1"/>
  <c r="O22" i="2"/>
  <c r="S22" i="2" s="1"/>
  <c r="R21" i="2"/>
  <c r="V21" i="2" s="1"/>
  <c r="Q21" i="2"/>
  <c r="U21" i="2" s="1"/>
  <c r="P21" i="2"/>
  <c r="T21" i="2" s="1"/>
  <c r="O21" i="2"/>
  <c r="S21" i="2" s="1"/>
  <c r="R20" i="2"/>
  <c r="V20" i="2" s="1"/>
  <c r="Q20" i="2"/>
  <c r="U20" i="2" s="1"/>
  <c r="P20" i="2"/>
  <c r="T20" i="2" s="1"/>
  <c r="O20" i="2"/>
  <c r="S20" i="2" s="1"/>
  <c r="R19" i="2"/>
  <c r="V19" i="2" s="1"/>
  <c r="Q19" i="2"/>
  <c r="U19" i="2" s="1"/>
  <c r="P19" i="2"/>
  <c r="T19" i="2" s="1"/>
  <c r="O19" i="2"/>
  <c r="S19" i="2" s="1"/>
  <c r="R18" i="2"/>
  <c r="V18" i="2" s="1"/>
  <c r="Q18" i="2"/>
  <c r="U18" i="2" s="1"/>
  <c r="P18" i="2"/>
  <c r="T18" i="2" s="1"/>
  <c r="O18" i="2"/>
  <c r="S18" i="2" s="1"/>
  <c r="R17" i="2"/>
  <c r="V17" i="2" s="1"/>
  <c r="Q17" i="2"/>
  <c r="U17" i="2" s="1"/>
  <c r="P17" i="2"/>
  <c r="T17" i="2" s="1"/>
  <c r="O17" i="2"/>
  <c r="S17" i="2" s="1"/>
  <c r="R16" i="2"/>
  <c r="V16" i="2" s="1"/>
  <c r="Q16" i="2"/>
  <c r="U16" i="2" s="1"/>
  <c r="P16" i="2"/>
  <c r="T16" i="2" s="1"/>
  <c r="O16" i="2"/>
  <c r="S16" i="2" s="1"/>
  <c r="R15" i="2"/>
  <c r="V15" i="2" s="1"/>
  <c r="Q15" i="2"/>
  <c r="U15" i="2" s="1"/>
  <c r="P15" i="2"/>
  <c r="T15" i="2" s="1"/>
  <c r="O15" i="2"/>
  <c r="S15" i="2" s="1"/>
  <c r="R14" i="2"/>
  <c r="Q14" i="2"/>
  <c r="P14" i="2"/>
  <c r="O14" i="2"/>
  <c r="R13" i="2"/>
  <c r="V13" i="2" s="1"/>
  <c r="Q13" i="2"/>
  <c r="U13" i="2" s="1"/>
  <c r="P13" i="2"/>
  <c r="T13" i="2" s="1"/>
  <c r="O13" i="2"/>
  <c r="S13" i="2" s="1"/>
  <c r="R12" i="2"/>
  <c r="V12" i="2" s="1"/>
  <c r="Q12" i="2"/>
  <c r="U12" i="2" s="1"/>
  <c r="P12" i="2"/>
  <c r="T12" i="2" s="1"/>
  <c r="O12" i="2"/>
  <c r="S12" i="2" s="1"/>
  <c r="R11" i="2"/>
  <c r="V11" i="2" s="1"/>
  <c r="Q11" i="2"/>
  <c r="U11" i="2" s="1"/>
  <c r="P11" i="2"/>
  <c r="T11" i="2" s="1"/>
  <c r="O11" i="2"/>
  <c r="S11" i="2" s="1"/>
  <c r="R10" i="2"/>
  <c r="V10" i="2" s="1"/>
  <c r="Q10" i="2"/>
  <c r="U10" i="2" s="1"/>
  <c r="P10" i="2"/>
  <c r="T10" i="2" s="1"/>
  <c r="O10" i="2"/>
  <c r="S10" i="2" s="1"/>
  <c r="R9" i="2"/>
  <c r="V9" i="2" s="1"/>
  <c r="Q9" i="2"/>
  <c r="U9" i="2" s="1"/>
  <c r="P9" i="2"/>
  <c r="T9" i="2" s="1"/>
  <c r="O9" i="2"/>
  <c r="S9" i="2" s="1"/>
  <c r="R8" i="2"/>
  <c r="V8" i="2" s="1"/>
  <c r="Q8" i="2"/>
  <c r="U8" i="2" s="1"/>
  <c r="P8" i="2"/>
  <c r="T8" i="2" s="1"/>
  <c r="O8" i="2"/>
  <c r="S8" i="2" s="1"/>
  <c r="R7" i="2"/>
  <c r="V7" i="2" s="1"/>
  <c r="Q7" i="2"/>
  <c r="U7" i="2" s="1"/>
  <c r="P7" i="2"/>
  <c r="T7" i="2" s="1"/>
  <c r="O7" i="2"/>
  <c r="S7" i="2" s="1"/>
  <c r="R6" i="2"/>
  <c r="V6" i="2" s="1"/>
  <c r="Q6" i="2"/>
  <c r="U6" i="2" s="1"/>
  <c r="P6" i="2"/>
  <c r="T6" i="2" s="1"/>
  <c r="O6" i="2"/>
  <c r="S6" i="2" s="1"/>
  <c r="R5" i="2"/>
  <c r="V5" i="2" s="1"/>
  <c r="Q5" i="2"/>
  <c r="U5" i="2" s="1"/>
  <c r="P5" i="2"/>
  <c r="T5" i="2" s="1"/>
  <c r="O5" i="2"/>
  <c r="S5" i="2" s="1"/>
  <c r="I25" i="2"/>
  <c r="I16" i="2"/>
  <c r="I6" i="2"/>
  <c r="E21" i="6"/>
  <c r="E20" i="6"/>
  <c r="E19" i="6"/>
  <c r="E18" i="6"/>
  <c r="E17" i="6"/>
  <c r="E16" i="6"/>
  <c r="E15" i="6"/>
  <c r="E14" i="6"/>
  <c r="E13" i="6"/>
  <c r="E12" i="6"/>
  <c r="E11" i="6"/>
  <c r="E10" i="6"/>
  <c r="E9" i="6"/>
  <c r="E8" i="6"/>
  <c r="E7" i="6"/>
  <c r="E6" i="6"/>
  <c r="E5" i="6"/>
  <c r="E4" i="6"/>
  <c r="E3" i="6"/>
  <c r="E2" i="6"/>
  <c r="O96" i="2" l="1"/>
  <c r="P96" i="2"/>
  <c r="U14" i="2"/>
  <c r="U96" i="2" s="1"/>
  <c r="Q96" i="2"/>
  <c r="V14" i="2"/>
  <c r="V96" i="2" s="1"/>
  <c r="R96" i="2"/>
  <c r="R94" i="2"/>
  <c r="S14" i="2"/>
  <c r="S96" i="2" s="1"/>
  <c r="O94" i="2"/>
  <c r="Q94" i="2"/>
  <c r="T14" i="2"/>
  <c r="P94" i="2"/>
  <c r="V94" i="2"/>
  <c r="U94" i="2" l="1"/>
  <c r="T94" i="2"/>
  <c r="T96" i="2"/>
  <c r="S94" i="2"/>
</calcChain>
</file>

<file path=xl/sharedStrings.xml><?xml version="1.0" encoding="utf-8"?>
<sst xmlns="http://schemas.openxmlformats.org/spreadsheetml/2006/main" count="1368" uniqueCount="113">
  <si>
    <t>TMR</t>
  </si>
  <si>
    <t>PT424401157</t>
  </si>
  <si>
    <t>PT433843806</t>
  </si>
  <si>
    <t>PT624139868</t>
  </si>
  <si>
    <t>PT833653644</t>
  </si>
  <si>
    <t>PT933843912</t>
  </si>
  <si>
    <t>PT333842562</t>
  </si>
  <si>
    <t>PT524401180</t>
  </si>
  <si>
    <t>PT533987885</t>
  </si>
  <si>
    <t>PT833653649</t>
  </si>
  <si>
    <t>PT933843894</t>
  </si>
  <si>
    <t>PT224401177</t>
  </si>
  <si>
    <t>PT524956505</t>
  </si>
  <si>
    <t>PT533843896</t>
  </si>
  <si>
    <t>PT924401183</t>
  </si>
  <si>
    <t>PT933602927</t>
  </si>
  <si>
    <t>PT033634130</t>
  </si>
  <si>
    <t>PT233843883</t>
  </si>
  <si>
    <t>PT333653651</t>
  </si>
  <si>
    <t>PT533358890</t>
  </si>
  <si>
    <t>PT724523831</t>
  </si>
  <si>
    <t>Control</t>
  </si>
  <si>
    <t>parque 3</t>
  </si>
  <si>
    <t>parque 4</t>
  </si>
  <si>
    <t>parque 2</t>
  </si>
  <si>
    <t>parque 5</t>
  </si>
  <si>
    <t>Feed Intake (kg/d)</t>
  </si>
  <si>
    <t>DMI (kg/d)</t>
  </si>
  <si>
    <t>Animal official ID</t>
  </si>
  <si>
    <t>Diet</t>
  </si>
  <si>
    <t>Pen</t>
  </si>
  <si>
    <t>Birth date</t>
  </si>
  <si>
    <t>Pre-adaptation period</t>
  </si>
  <si>
    <t>Start the trial</t>
  </si>
  <si>
    <t>Weight (kg)_2022/12/22</t>
  </si>
  <si>
    <t>Weight (kg)_2023/01/03</t>
  </si>
  <si>
    <t>Weight (kg)_2023/01/17</t>
  </si>
  <si>
    <t>Weight (kg)_2023/01/24</t>
  </si>
  <si>
    <t>Weight (kg)_2023/02/07</t>
  </si>
  <si>
    <t>Weight (kg)_2023/02/22</t>
  </si>
  <si>
    <t>Weight (kg)_2023/03/07</t>
  </si>
  <si>
    <t>Weight (kg)_2023/03/27</t>
  </si>
  <si>
    <t>Means</t>
  </si>
  <si>
    <t>Sums</t>
  </si>
  <si>
    <t>DATE</t>
  </si>
  <si>
    <t>Pen 3</t>
  </si>
  <si>
    <t>Pen 4</t>
  </si>
  <si>
    <t>Pen 2</t>
  </si>
  <si>
    <t>Pen 5</t>
  </si>
  <si>
    <t>Farm Nr</t>
  </si>
  <si>
    <t>Feed provided (kg)</t>
  </si>
  <si>
    <t>Remainders weight</t>
  </si>
  <si>
    <t>Feed Intake (kg FM)</t>
  </si>
  <si>
    <t>Feed intake (kg FM/animal)</t>
  </si>
  <si>
    <t>Dry matter intake (kg DM/animal)</t>
  </si>
  <si>
    <t>NOTE - The trial started on 02/01/2023 (before that it was a period of habituation).</t>
  </si>
  <si>
    <t>Carcass weight (kg)</t>
  </si>
  <si>
    <t>RFID</t>
  </si>
  <si>
    <t>Farm Name</t>
  </si>
  <si>
    <t>Day</t>
  </si>
  <si>
    <t>Start Time</t>
  </si>
  <si>
    <t>End Time</t>
  </si>
  <si>
    <t>Good Data Duration</t>
  </si>
  <si>
    <t>Hour Of Day</t>
  </si>
  <si>
    <t>CO2 Massflow (g/d)</t>
  </si>
  <si>
    <t>CH4 Massflow (g/d)</t>
  </si>
  <si>
    <t>Animal</t>
  </si>
  <si>
    <t>TOTAL</t>
  </si>
  <si>
    <t>Rib 9,10,11</t>
  </si>
  <si>
    <t>Muscle</t>
  </si>
  <si>
    <t>Fat</t>
  </si>
  <si>
    <t>Bone</t>
  </si>
  <si>
    <t>Residues</t>
  </si>
  <si>
    <t>External fat</t>
  </si>
  <si>
    <t>Kg</t>
  </si>
  <si>
    <t>%</t>
  </si>
  <si>
    <t>Repet lab</t>
  </si>
  <si>
    <t>Force Max (N)</t>
  </si>
  <si>
    <t>Age (months)</t>
  </si>
  <si>
    <t>Day after slaughter</t>
  </si>
  <si>
    <t>Animal ID</t>
  </si>
  <si>
    <t>Section</t>
  </si>
  <si>
    <t>Description</t>
  </si>
  <si>
    <t>Title</t>
  </si>
  <si>
    <t>Dataset on growth, carcass composition, meat quality, methane emissions and carbon footprint of crossbred Angus young bulls.</t>
  </si>
  <si>
    <t>Reference to article</t>
  </si>
  <si>
    <t>Effect of a corn silage-based finishing diet on growth, carcass composition, meat quality, methane emissions and carbon footprint of crossbred Angus young bulls.</t>
  </si>
  <si>
    <t>This dataset includes raw and processed data on live weights, feed and dry matter intake, methane and carbon dioxide emissions, carcass composition, meat quality parameters, and calculated carbon footprint of crossbred Angus young bulls finished with either a conventional concentrate-based diet (Control) or a corn silage-based total mixed ration (TMR).</t>
  </si>
  <si>
    <t>Number of animals</t>
  </si>
  <si>
    <t>Experimental unit (n)</t>
  </si>
  <si>
    <t>Experimental groups</t>
  </si>
  <si>
    <t>Sheets included</t>
  </si>
  <si>
    <t>CC BY 4.0</t>
  </si>
  <si>
    <t>Corresponding author</t>
  </si>
  <si>
    <t>rjbbessa@fmv.ulisboa.pt</t>
  </si>
  <si>
    <t>Licence</t>
  </si>
  <si>
    <t>Control (conventional concentrate diet) and TMR (Total Mixed Ration with maize silage and brewer's spent grains).</t>
  </si>
  <si>
    <t>Live weights; Daily feed intake; Dry matter intake; Greenhouse gases emissions; Carcass composition; Meat texture; Meat color; Carbon Footprint.</t>
  </si>
  <si>
    <t>Total Feed</t>
  </si>
  <si>
    <t>Pens</t>
  </si>
  <si>
    <t>2,3,4 and 5</t>
  </si>
  <si>
    <r>
      <t>kg CO</t>
    </r>
    <r>
      <rPr>
        <vertAlign val="subscript"/>
        <sz val="11"/>
        <color theme="1"/>
        <rFont val="Calibri"/>
        <family val="2"/>
        <scheme val="minor"/>
      </rPr>
      <t>2</t>
    </r>
    <r>
      <rPr>
        <sz val="11"/>
        <color theme="1"/>
        <rFont val="Calibri"/>
        <family val="2"/>
        <scheme val="minor"/>
      </rPr>
      <t>eq/animal</t>
    </r>
  </si>
  <si>
    <t xml:space="preserve">Digestive tract </t>
  </si>
  <si>
    <t>Manure</t>
  </si>
  <si>
    <t>Concentrate</t>
  </si>
  <si>
    <t>Maize silage</t>
  </si>
  <si>
    <t>Brewer's spent grains</t>
  </si>
  <si>
    <t>Straw</t>
  </si>
  <si>
    <t>L</t>
  </si>
  <si>
    <t>a</t>
  </si>
  <si>
    <t>b</t>
  </si>
  <si>
    <t>C</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</si>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</sst>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yyyy\-mm\-dd\ hh:mm:ss"/>
  </numFmts>
  <fonts count="21" x14ac:knownFonts="1">
    <font>
      <sz val="11"/>
      <color theme="1"/>
      <name val="Calibri"/>
      <family val="2"/>
      <scheme val="minor"/>
    </font>
    <font>
      <sz val="11"/>
      <color rgb="FFFF0000"/>
      <name val="Calibri"/>
      <family val="2"/>
      <scheme val="minor"/>
    </font>
    <font>
      <b/>
      <sz val="11"/>
      <color theme="1"/>
      <name val="Calibri"/>
      <family val="2"/>
      <scheme val="minor"/>
    </font>
    <font>
      <b/>
      <sz val="11"/>
      <name val="Calibri"/>
      <family val="2"/>
      <scheme val="minor"/>
    </font>
    <font>
      <sz val="11"/>
      <name val="Calibri"/>
      <family val="2"/>
      <scheme val="minor"/>
    </font>
    <font>
      <sz val="11"/>
      <color theme="1"/>
      <name val="Calibri"/>
      <family val="2"/>
      <scheme val="minor"/>
    </font>
    <font>
      <b/>
      <sz val="11"/>
      <color rgb="FF3F3F3F"/>
      <name val="Calibri"/>
      <family val="2"/>
      <scheme val="minor"/>
    </font>
    <font>
      <b/>
      <sz val="11"/>
      <color theme="0"/>
      <name val="Calibri"/>
      <family val="2"/>
      <scheme val="minor"/>
    </font>
    <font>
      <sz val="11"/>
      <color rgb="FF7030A0"/>
      <name val="Calibri"/>
      <family val="2"/>
      <scheme val="minor"/>
    </font>
    <font>
      <sz val="11"/>
      <color rgb="FF006100"/>
      <name val="Calibri"/>
      <family val="2"/>
      <scheme val="minor"/>
    </font>
    <font>
      <sz val="11"/>
      <color rgb="FF9C5700"/>
      <name val="Calibri"/>
      <family val="2"/>
      <scheme val="minor"/>
    </font>
    <font>
      <b/>
      <sz val="11"/>
      <color rgb="FF9C5700"/>
      <name val="Calibri"/>
      <family val="2"/>
      <scheme val="minor"/>
    </font>
    <font>
      <sz val="12"/>
      <color theme="1"/>
      <name val="Times New Roman"/>
      <family val="1"/>
    </font>
    <font>
      <sz val="11"/>
      <color theme="1"/>
      <name val="Times New Roman"/>
      <family val="1"/>
    </font>
    <font>
      <b/>
      <sz val="11"/>
      <color theme="1"/>
      <name val="Times New Roman"/>
      <family val="1"/>
    </font>
    <font>
      <u/>
      <sz val="11"/>
      <color theme="10"/>
      <name val="Calibri"/>
      <family val="2"/>
      <scheme val="minor"/>
    </font>
    <font>
      <sz val="11"/>
      <color rgb="FF505050"/>
      <name val="Times New Roman"/>
      <family val="1"/>
    </font>
    <font>
      <u/>
      <sz val="11"/>
      <color theme="10"/>
      <name val="Times New Roman"/>
      <family val="1"/>
    </font>
    <font>
      <vertAlign val="subscript"/>
      <sz val="11"/>
      <color theme="1"/>
      <name val="Calibri"/>
      <family val="2"/>
      <scheme val="minor"/>
    </font>
    <font>
      <b/>
      <sz val="11"/>
      <color rgb="FF7030A0"/>
      <name val="Calibri"/>
      <family val="2"/>
      <scheme val="minor"/>
    </font>
    <font>
      <b/>
      <sz val="11"/>
      <color rgb="FF006100"/>
      <name val="Calibri"/>
      <family val="2"/>
      <scheme val="minor"/>
    </font>
  </fonts>
  <fills count="20">
    <fill>
      <patternFill patternType="none"/>
    </fill>
    <fill>
      <patternFill patternType="gray125"/>
    </fill>
    <fill>
      <patternFill patternType="solid">
        <fgColor theme="9" tint="0.79998168889431442"/>
        <bgColor indexed="64"/>
      </patternFill>
    </fill>
    <fill>
      <patternFill patternType="solid">
        <fgColor rgb="FFF2F2F2"/>
      </patternFill>
    </fill>
    <fill>
      <patternFill patternType="solid">
        <fgColor rgb="FFA5A5A5"/>
      </patternFill>
    </fill>
    <fill>
      <patternFill patternType="solid">
        <fgColor rgb="FFFFFFCC"/>
      </patternFill>
    </fill>
    <fill>
      <patternFill patternType="solid">
        <fgColor theme="5" tint="0.79998168889431442"/>
        <bgColor indexed="64"/>
      </patternFill>
    </fill>
    <fill>
      <patternFill patternType="solid">
        <fgColor theme="0" tint="-0.34998626667073579"/>
        <bgColor indexed="64"/>
      </patternFill>
    </fill>
    <fill>
      <patternFill patternType="solid">
        <fgColor theme="7" tint="0.79998168889431442"/>
        <bgColor indexed="64"/>
      </patternFill>
    </fill>
    <fill>
      <patternFill patternType="solid">
        <fgColor theme="7" tint="0.59999389629810485"/>
        <bgColor theme="7" tint="0.59999389629810485"/>
      </patternFill>
    </fill>
    <fill>
      <patternFill patternType="solid">
        <fgColor theme="0" tint="-0.249977111117893"/>
        <bgColor indexed="64"/>
      </patternFill>
    </fill>
    <fill>
      <patternFill patternType="solid">
        <fgColor theme="7" tint="0.79998168889431442"/>
        <bgColor theme="7" tint="0.59999389629810485"/>
      </patternFill>
    </fill>
    <fill>
      <patternFill patternType="solid">
        <fgColor theme="0" tint="-0.249977111117893"/>
        <bgColor theme="7" tint="0.59999389629810485"/>
      </patternFill>
    </fill>
    <fill>
      <patternFill patternType="solid">
        <fgColor rgb="FFFFFF00"/>
        <bgColor indexed="64"/>
      </patternFill>
    </fill>
    <fill>
      <patternFill patternType="solid">
        <fgColor theme="0"/>
        <bgColor indexed="64"/>
      </patternFill>
    </fill>
    <fill>
      <patternFill patternType="solid">
        <fgColor rgb="FFC6EFCE"/>
      </patternFill>
    </fill>
    <fill>
      <patternFill patternType="solid">
        <fgColor rgb="FFFFEB9C"/>
      </patternFill>
    </fill>
    <fill>
      <patternFill patternType="solid">
        <fgColor theme="9" tint="0.79998168889431442"/>
        <bgColor theme="9" tint="0.79998168889431442"/>
      </patternFill>
    </fill>
    <fill>
      <patternFill patternType="solid">
        <fgColor theme="2" tint="-9.9978637043366805E-2"/>
        <bgColor indexed="64"/>
      </patternFill>
    </fill>
    <fill>
      <patternFill patternType="solid">
        <fgColor theme="2"/>
        <bgColor indexed="64"/>
      </patternFill>
    </fill>
  </fills>
  <borders count="27">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rgb="FFB2B2B2"/>
      </right>
      <top style="thin">
        <color rgb="FFB2B2B2"/>
      </top>
      <bottom style="thin">
        <color rgb="FFB2B2B2"/>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double">
        <color rgb="FF3F3F3F"/>
      </left>
      <right style="double">
        <color rgb="FF3F3F3F"/>
      </right>
      <top/>
      <bottom/>
      <diagonal/>
    </border>
    <border>
      <left style="double">
        <color rgb="FF3F3F3F"/>
      </left>
      <right style="thin">
        <color indexed="64"/>
      </right>
      <top style="double">
        <color rgb="FF3F3F3F"/>
      </top>
      <bottom style="double">
        <color rgb="FF3F3F3F"/>
      </bottom>
      <diagonal/>
    </border>
    <border>
      <left style="double">
        <color rgb="FF3F3F3F"/>
      </left>
      <right style="double">
        <color rgb="FF3F3F3F"/>
      </right>
      <top/>
      <bottom style="thin">
        <color indexed="64"/>
      </bottom>
      <diagonal/>
    </border>
    <border>
      <left style="double">
        <color rgb="FF3F3F3F"/>
      </left>
      <right style="thin">
        <color indexed="64"/>
      </right>
      <top/>
      <bottom style="thin">
        <color indexed="64"/>
      </bottom>
      <diagonal/>
    </border>
    <border>
      <left style="double">
        <color rgb="FF3F3F3F"/>
      </left>
      <right style="double">
        <color rgb="FF3F3F3F"/>
      </right>
      <top/>
      <bottom style="double">
        <color rgb="FF3F3F3F"/>
      </bottom>
      <diagonal/>
    </border>
    <border>
      <left style="double">
        <color rgb="FF3F3F3F"/>
      </left>
      <right style="thin">
        <color indexed="64"/>
      </right>
      <top/>
      <bottom style="double">
        <color rgb="FF3F3F3F"/>
      </bottom>
      <diagonal/>
    </border>
    <border>
      <left style="double">
        <color rgb="FF3F3F3F"/>
      </left>
      <right/>
      <top/>
      <bottom/>
      <diagonal/>
    </border>
    <border>
      <left style="thin">
        <color theme="9" tint="0.39997558519241921"/>
      </left>
      <right/>
      <top style="thin">
        <color theme="9" tint="0.39997558519241921"/>
      </top>
      <bottom/>
      <diagonal/>
    </border>
    <border>
      <left/>
      <right/>
      <top style="thin">
        <color theme="9" tint="0.39997558519241921"/>
      </top>
      <bottom/>
      <diagonal/>
    </border>
  </borders>
  <cellStyleXfs count="7">
    <xf numFmtId="0" fontId="0" fillId="0" borderId="0"/>
    <xf numFmtId="0" fontId="6" fillId="3" borderId="4" applyNumberFormat="0" applyAlignment="0" applyProtection="0"/>
    <xf numFmtId="0" fontId="7" fillId="4" borderId="5" applyNumberFormat="0" applyAlignment="0" applyProtection="0"/>
    <xf numFmtId="0" fontId="5" fillId="5" borderId="6" applyNumberFormat="0" applyFont="0" applyAlignment="0" applyProtection="0"/>
    <xf numFmtId="0" fontId="9" fillId="15" borderId="0" applyNumberFormat="0" applyBorder="0" applyAlignment="0" applyProtection="0"/>
    <xf numFmtId="0" fontId="10" fillId="16" borderId="0" applyNumberFormat="0" applyBorder="0" applyAlignment="0" applyProtection="0"/>
    <xf numFmtId="0" fontId="15" fillId="0" borderId="0" applyNumberFormat="0" applyFill="0" applyBorder="0" applyAlignment="0" applyProtection="0"/>
  </cellStyleXfs>
  <cellXfs count="109">
    <xf numFmtId="0" fontId="0" fillId="0" borderId="0" xfId="0"/>
    <xf numFmtId="14" fontId="0" fillId="0" borderId="0" xfId="0" applyNumberFormat="1"/>
    <xf numFmtId="0" fontId="1" fillId="0" borderId="0" xfId="0" applyFont="1"/>
    <xf numFmtId="14" fontId="0" fillId="0" borderId="9" xfId="0" applyNumberFormat="1" applyBorder="1"/>
    <xf numFmtId="14" fontId="0" fillId="0" borderId="12" xfId="0" applyNumberFormat="1" applyBorder="1"/>
    <xf numFmtId="0" fontId="2" fillId="0" borderId="0" xfId="0" applyFont="1"/>
    <xf numFmtId="14" fontId="5" fillId="7" borderId="14" xfId="3" applyNumberFormat="1" applyFill="1" applyBorder="1"/>
    <xf numFmtId="164" fontId="0" fillId="7" borderId="0" xfId="0" applyNumberFormat="1" applyFill="1"/>
    <xf numFmtId="164" fontId="0" fillId="7" borderId="15" xfId="0" applyNumberFormat="1" applyFill="1" applyBorder="1"/>
    <xf numFmtId="164" fontId="0" fillId="0" borderId="0" xfId="0" applyNumberFormat="1"/>
    <xf numFmtId="164" fontId="0" fillId="0" borderId="15" xfId="0" applyNumberFormat="1" applyBorder="1"/>
    <xf numFmtId="14" fontId="0" fillId="8" borderId="16" xfId="0" applyNumberFormat="1" applyFill="1" applyBorder="1"/>
    <xf numFmtId="14" fontId="5" fillId="8" borderId="14" xfId="3" applyNumberFormat="1" applyFill="1" applyBorder="1"/>
    <xf numFmtId="164" fontId="3" fillId="0" borderId="5" xfId="2" applyNumberFormat="1" applyFont="1" applyFill="1"/>
    <xf numFmtId="164" fontId="3" fillId="0" borderId="19" xfId="2" applyNumberFormat="1" applyFont="1" applyFill="1" applyBorder="1"/>
    <xf numFmtId="164" fontId="3" fillId="0" borderId="20" xfId="2" applyNumberFormat="1" applyFont="1" applyFill="1" applyBorder="1"/>
    <xf numFmtId="164" fontId="3" fillId="0" borderId="21" xfId="2" applyNumberFormat="1" applyFont="1" applyFill="1" applyBorder="1"/>
    <xf numFmtId="0" fontId="0" fillId="0" borderId="16" xfId="0" applyBorder="1"/>
    <xf numFmtId="164" fontId="3" fillId="10" borderId="5" xfId="2" applyNumberFormat="1" applyFont="1" applyFill="1"/>
    <xf numFmtId="164" fontId="3" fillId="10" borderId="19" xfId="2" applyNumberFormat="1" applyFont="1" applyFill="1" applyBorder="1"/>
    <xf numFmtId="164" fontId="4" fillId="2" borderId="16" xfId="0" applyNumberFormat="1" applyFont="1" applyFill="1" applyBorder="1"/>
    <xf numFmtId="164" fontId="4" fillId="2" borderId="15" xfId="0" applyNumberFormat="1" applyFont="1" applyFill="1" applyBorder="1"/>
    <xf numFmtId="164" fontId="0" fillId="2" borderId="16" xfId="0" applyNumberFormat="1" applyFill="1" applyBorder="1"/>
    <xf numFmtId="164" fontId="0" fillId="2" borderId="15" xfId="0" applyNumberFormat="1" applyFill="1" applyBorder="1"/>
    <xf numFmtId="164" fontId="6" fillId="9" borderId="7" xfId="1" applyNumberFormat="1" applyFill="1" applyBorder="1"/>
    <xf numFmtId="2" fontId="6" fillId="9" borderId="7" xfId="1" applyNumberFormat="1" applyFill="1" applyBorder="1"/>
    <xf numFmtId="164" fontId="6" fillId="11" borderId="7" xfId="1" applyNumberFormat="1" applyFill="1" applyBorder="1"/>
    <xf numFmtId="164" fontId="6" fillId="11" borderId="10" xfId="1" applyNumberFormat="1" applyFill="1" applyBorder="1"/>
    <xf numFmtId="165" fontId="0" fillId="0" borderId="0" xfId="0" applyNumberFormat="1"/>
    <xf numFmtId="164" fontId="6" fillId="0" borderId="7" xfId="1" applyNumberFormat="1" applyFill="1" applyBorder="1"/>
    <xf numFmtId="165" fontId="2" fillId="0" borderId="0" xfId="0" applyNumberFormat="1" applyFont="1"/>
    <xf numFmtId="164" fontId="4" fillId="10" borderId="16" xfId="0" applyNumberFormat="1" applyFont="1" applyFill="1" applyBorder="1"/>
    <xf numFmtId="164" fontId="4" fillId="10" borderId="15" xfId="0" applyNumberFormat="1" applyFont="1" applyFill="1" applyBorder="1"/>
    <xf numFmtId="164" fontId="6" fillId="12" borderId="7" xfId="1" applyNumberFormat="1" applyFill="1" applyBorder="1"/>
    <xf numFmtId="164" fontId="6" fillId="12" borderId="10" xfId="1" applyNumberFormat="1" applyFill="1" applyBorder="1"/>
    <xf numFmtId="164" fontId="2" fillId="0" borderId="0" xfId="0" applyNumberFormat="1" applyFont="1"/>
    <xf numFmtId="1" fontId="0" fillId="0" borderId="0" xfId="0" applyNumberFormat="1"/>
    <xf numFmtId="0" fontId="0" fillId="13" borderId="0" xfId="0" applyFill="1"/>
    <xf numFmtId="0" fontId="8" fillId="0" borderId="0" xfId="0" applyFont="1"/>
    <xf numFmtId="0" fontId="0" fillId="6" borderId="16" xfId="0" applyFill="1" applyBorder="1"/>
    <xf numFmtId="0" fontId="0" fillId="0" borderId="0" xfId="0" applyAlignment="1">
      <alignment horizontal="center"/>
    </xf>
    <xf numFmtId="14" fontId="2" fillId="5" borderId="14" xfId="3" applyNumberFormat="1" applyFont="1" applyBorder="1" applyAlignment="1">
      <alignment horizontal="center"/>
    </xf>
    <xf numFmtId="0" fontId="2" fillId="0" borderId="0" xfId="0" applyFont="1" applyAlignment="1">
      <alignment horizontal="center"/>
    </xf>
    <xf numFmtId="0" fontId="2" fillId="0" borderId="15" xfId="0" applyFont="1" applyBorder="1" applyAlignment="1">
      <alignment horizontal="center"/>
    </xf>
    <xf numFmtId="0" fontId="3" fillId="0" borderId="22" xfId="2" applyFont="1" applyFill="1" applyBorder="1" applyAlignment="1">
      <alignment horizontal="center"/>
    </xf>
    <xf numFmtId="0" fontId="3" fillId="0" borderId="23" xfId="2" applyFont="1" applyFill="1" applyBorder="1" applyAlignment="1">
      <alignment horizontal="center"/>
    </xf>
    <xf numFmtId="0" fontId="4" fillId="2" borderId="10" xfId="0" applyFont="1" applyFill="1" applyBorder="1" applyAlignment="1">
      <alignment horizontal="center"/>
    </xf>
    <xf numFmtId="0" fontId="4" fillId="2" borderId="11" xfId="0" applyFont="1" applyFill="1" applyBorder="1" applyAlignment="1">
      <alignment horizontal="center"/>
    </xf>
    <xf numFmtId="0" fontId="3" fillId="9" borderId="18" xfId="2" applyFont="1" applyFill="1" applyBorder="1" applyAlignment="1">
      <alignment horizontal="center"/>
    </xf>
    <xf numFmtId="0" fontId="3" fillId="11" borderId="18" xfId="2" applyFont="1" applyFill="1" applyBorder="1" applyAlignment="1">
      <alignment horizontal="center"/>
    </xf>
    <xf numFmtId="0" fontId="3" fillId="11" borderId="24" xfId="2" applyFont="1" applyFill="1" applyBorder="1" applyAlignment="1">
      <alignment horizontal="center"/>
    </xf>
    <xf numFmtId="166" fontId="0" fillId="0" borderId="0" xfId="0" applyNumberFormat="1"/>
    <xf numFmtId="21" fontId="0" fillId="0" borderId="0" xfId="0" applyNumberFormat="1"/>
    <xf numFmtId="1" fontId="0" fillId="13" borderId="0" xfId="0" applyNumberFormat="1" applyFill="1"/>
    <xf numFmtId="14" fontId="0" fillId="13" borderId="0" xfId="0" applyNumberFormat="1" applyFill="1"/>
    <xf numFmtId="166" fontId="0" fillId="13" borderId="0" xfId="0" applyNumberFormat="1" applyFill="1"/>
    <xf numFmtId="21" fontId="0" fillId="13" borderId="0" xfId="0" applyNumberFormat="1" applyFill="1"/>
    <xf numFmtId="0" fontId="0" fillId="14" borderId="0" xfId="0" applyFill="1"/>
    <xf numFmtId="0" fontId="0" fillId="0" borderId="3" xfId="0" applyBorder="1" applyAlignment="1">
      <alignment horizontal="center"/>
    </xf>
    <xf numFmtId="0" fontId="0" fillId="0" borderId="0" xfId="0" applyAlignment="1">
      <alignment horizontal="center" vertical="center"/>
    </xf>
    <xf numFmtId="2" fontId="0" fillId="8" borderId="0" xfId="0" applyNumberFormat="1" applyFill="1" applyAlignment="1">
      <alignment horizontal="center" vertical="center"/>
    </xf>
    <xf numFmtId="0" fontId="0" fillId="17" borderId="0" xfId="0" applyFill="1" applyAlignment="1">
      <alignment horizontal="center" vertical="center"/>
    </xf>
    <xf numFmtId="0" fontId="13" fillId="0" borderId="0" xfId="0" applyFont="1"/>
    <xf numFmtId="0" fontId="13" fillId="0" borderId="0" xfId="0" applyFont="1" applyAlignment="1">
      <alignment horizontal="left" vertical="top"/>
    </xf>
    <xf numFmtId="0" fontId="14" fillId="0" borderId="0" xfId="0" applyFont="1" applyAlignment="1">
      <alignment horizontal="left"/>
    </xf>
    <xf numFmtId="0" fontId="13" fillId="0" borderId="0" xfId="0" applyFont="1" applyAlignment="1">
      <alignment horizontal="left"/>
    </xf>
    <xf numFmtId="0" fontId="14" fillId="0" borderId="0" xfId="0" applyFont="1" applyAlignment="1">
      <alignment horizontal="left" vertical="top"/>
    </xf>
    <xf numFmtId="0" fontId="13" fillId="0" borderId="0" xfId="0" applyFont="1" applyAlignment="1">
      <alignment horizontal="left" wrapText="1"/>
    </xf>
    <xf numFmtId="0" fontId="13" fillId="0" borderId="0" xfId="0" applyFont="1" applyAlignment="1">
      <alignment horizontal="left" vertical="center" wrapText="1"/>
    </xf>
    <xf numFmtId="0" fontId="0" fillId="0" borderId="0" xfId="0" applyAlignment="1">
      <alignment horizontal="left"/>
    </xf>
    <xf numFmtId="0" fontId="12" fillId="0" borderId="0" xfId="0" applyFont="1" applyAlignment="1">
      <alignment vertical="center"/>
    </xf>
    <xf numFmtId="0" fontId="16" fillId="0" borderId="0" xfId="0" applyFont="1"/>
    <xf numFmtId="0" fontId="17" fillId="0" borderId="0" xfId="6" applyFont="1" applyAlignment="1">
      <alignment horizontal="left"/>
    </xf>
    <xf numFmtId="2" fontId="0" fillId="0" borderId="0" xfId="0" applyNumberFormat="1"/>
    <xf numFmtId="2" fontId="0" fillId="2" borderId="0" xfId="0" applyNumberFormat="1" applyFill="1"/>
    <xf numFmtId="0" fontId="0" fillId="19" borderId="0" xfId="0" applyFill="1"/>
    <xf numFmtId="0" fontId="2" fillId="18" borderId="0" xfId="0" applyFont="1" applyFill="1" applyAlignment="1">
      <alignment horizontal="center"/>
    </xf>
    <xf numFmtId="0" fontId="19" fillId="18" borderId="0" xfId="0" applyFont="1" applyFill="1" applyAlignment="1">
      <alignment horizontal="center"/>
    </xf>
    <xf numFmtId="0" fontId="2" fillId="18" borderId="16" xfId="0" applyFont="1" applyFill="1" applyBorder="1" applyAlignment="1">
      <alignment horizontal="center"/>
    </xf>
    <xf numFmtId="0" fontId="2" fillId="18" borderId="7" xfId="0" applyFont="1" applyFill="1" applyBorder="1" applyAlignment="1">
      <alignment horizontal="center"/>
    </xf>
    <xf numFmtId="49" fontId="2" fillId="18" borderId="0" xfId="0" applyNumberFormat="1" applyFont="1" applyFill="1" applyAlignment="1">
      <alignment horizontal="center"/>
    </xf>
    <xf numFmtId="0" fontId="2" fillId="6" borderId="0" xfId="0" applyFont="1" applyFill="1" applyAlignment="1">
      <alignment horizontal="center"/>
    </xf>
    <xf numFmtId="164" fontId="2" fillId="18" borderId="0" xfId="0" applyNumberFormat="1" applyFont="1" applyFill="1" applyAlignment="1">
      <alignment horizontal="center"/>
    </xf>
    <xf numFmtId="1" fontId="4" fillId="0" borderId="0" xfId="0" applyNumberFormat="1" applyFont="1"/>
    <xf numFmtId="0" fontId="20" fillId="18" borderId="25" xfId="4" applyFont="1" applyFill="1" applyBorder="1" applyAlignment="1">
      <alignment horizontal="center" vertical="center"/>
    </xf>
    <xf numFmtId="2" fontId="20" fillId="18" borderId="26" xfId="4" applyNumberFormat="1" applyFont="1" applyFill="1" applyBorder="1" applyAlignment="1">
      <alignment horizontal="center" vertical="center"/>
    </xf>
    <xf numFmtId="0" fontId="20" fillId="18" borderId="26" xfId="4" applyFont="1" applyFill="1" applyBorder="1" applyAlignment="1">
      <alignment horizontal="center" vertical="center"/>
    </xf>
    <xf numFmtId="0" fontId="2" fillId="18" borderId="0" xfId="0" applyFont="1" applyFill="1"/>
    <xf numFmtId="0" fontId="11" fillId="18" borderId="0" xfId="5" applyFont="1" applyFill="1" applyBorder="1" applyAlignment="1">
      <alignment horizontal="center" vertical="center" wrapText="1"/>
    </xf>
    <xf numFmtId="0" fontId="2" fillId="9" borderId="0" xfId="0" applyFont="1" applyFill="1" applyAlignment="1">
      <alignment horizontal="center"/>
    </xf>
    <xf numFmtId="0" fontId="2" fillId="9" borderId="7" xfId="0" applyFont="1" applyFill="1" applyBorder="1" applyAlignment="1">
      <alignment horizontal="center" vertical="center"/>
    </xf>
    <xf numFmtId="0" fontId="2" fillId="11" borderId="0" xfId="0" applyFont="1" applyFill="1" applyAlignment="1">
      <alignment horizontal="center"/>
    </xf>
    <xf numFmtId="0" fontId="2" fillId="11" borderId="7" xfId="0" applyFont="1" applyFill="1" applyBorder="1" applyAlignment="1">
      <alignment horizontal="center" vertical="center"/>
    </xf>
    <xf numFmtId="0" fontId="2" fillId="11" borderId="10" xfId="0" applyFont="1" applyFill="1" applyBorder="1" applyAlignment="1">
      <alignment horizontal="center" vertical="center"/>
    </xf>
    <xf numFmtId="0" fontId="2" fillId="0" borderId="2" xfId="0" applyFont="1" applyBorder="1" applyAlignment="1">
      <alignment horizontal="center"/>
    </xf>
    <xf numFmtId="0" fontId="2" fillId="0" borderId="13" xfId="0" applyFont="1" applyBorder="1" applyAlignment="1">
      <alignment horizontal="center"/>
    </xf>
    <xf numFmtId="0" fontId="2" fillId="0" borderId="12" xfId="0" applyFont="1" applyBorder="1" applyAlignment="1">
      <alignment horizontal="center" vertical="center"/>
    </xf>
    <xf numFmtId="0" fontId="2" fillId="0" borderId="2" xfId="0" applyFont="1" applyBorder="1" applyAlignment="1">
      <alignment horizontal="center" vertical="center"/>
    </xf>
    <xf numFmtId="0" fontId="2" fillId="0" borderId="13" xfId="0" applyFont="1" applyBorder="1" applyAlignment="1">
      <alignment horizontal="center" vertical="center"/>
    </xf>
    <xf numFmtId="0" fontId="2" fillId="0" borderId="8" xfId="0" applyFont="1" applyBorder="1" applyAlignment="1">
      <alignment horizontal="center" vertical="center"/>
    </xf>
    <xf numFmtId="0" fontId="2" fillId="0" borderId="3" xfId="0" applyFont="1" applyBorder="1" applyAlignment="1">
      <alignment horizontal="center" vertical="center"/>
    </xf>
    <xf numFmtId="0" fontId="2" fillId="0" borderId="17" xfId="0" applyFont="1" applyBorder="1" applyAlignment="1">
      <alignment horizontal="center" vertical="center"/>
    </xf>
    <xf numFmtId="0" fontId="0" fillId="2" borderId="16" xfId="0" applyFill="1" applyBorder="1" applyAlignment="1">
      <alignment horizontal="center"/>
    </xf>
    <xf numFmtId="0" fontId="0" fillId="2" borderId="15" xfId="0" applyFill="1" applyBorder="1" applyAlignment="1">
      <alignment horizontal="center"/>
    </xf>
    <xf numFmtId="0" fontId="2" fillId="2" borderId="10" xfId="0" applyFont="1" applyFill="1" applyBorder="1" applyAlignment="1">
      <alignment horizontal="center"/>
    </xf>
    <xf numFmtId="0" fontId="2" fillId="2" borderId="1" xfId="0" applyFont="1" applyFill="1" applyBorder="1" applyAlignment="1">
      <alignment horizontal="center"/>
    </xf>
    <xf numFmtId="0" fontId="2" fillId="2" borderId="11" xfId="0" applyFont="1" applyFill="1" applyBorder="1" applyAlignment="1">
      <alignment horizontal="center"/>
    </xf>
    <xf numFmtId="0" fontId="2" fillId="18" borderId="3" xfId="0" applyFont="1" applyFill="1" applyBorder="1" applyAlignment="1">
      <alignment horizontal="center"/>
    </xf>
    <xf numFmtId="0" fontId="0" fillId="18" borderId="3" xfId="0" applyFill="1" applyBorder="1" applyAlignment="1">
      <alignment horizontal="center"/>
    </xf>
  </cellXfs>
  <cellStyles count="7">
    <cellStyle name="Check Cell" xfId="2" builtinId="23"/>
    <cellStyle name="Good" xfId="4" builtinId="26"/>
    <cellStyle name="Hyperlink" xfId="6" builtinId="8"/>
    <cellStyle name="Neutral" xfId="5" builtinId="28"/>
    <cellStyle name="Normal" xfId="0" builtinId="0"/>
    <cellStyle name="Note" xfId="3" builtinId="10"/>
    <cellStyle name="Output" xfId="1"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TerraPrima\GreenBeef\Engordas\1&#186;%20Ensaio%20Engordas\20230404_RESULTADO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diana\OneDrive%20-%20Universidade%20de%20Lisboa\Doutoramento\GreenBeef\Engordas\1&#186;%20Ensaio%20Engordas\Resultados_Emiss&#245;es_GreenFeed.xlsx" TargetMode="External"/><Relationship Id="rId1" Type="http://schemas.openxmlformats.org/officeDocument/2006/relationships/externalLinkPath" Target="file:///C:\Users\diana\OneDrive%20-%20Universidade%20de%20Lisboa\Doutoramento\GreenBeef\Engordas\1&#186;%20Ensaio%20Engordas\Resultados_Emiss&#245;es_GreenFe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saio 1"/>
      <sheetName val="Lixo"/>
      <sheetName val="Pesagens"/>
      <sheetName val="Consumo de alimento"/>
      <sheetName val="Greenfeed Trial 0"/>
      <sheetName val="Greenfeed Trial 0 (emissions)"/>
      <sheetName val="Greenfeed Trial 1"/>
      <sheetName val="Greenfeed Trial 1 (emissions)"/>
    </sheetNames>
    <sheetDataSet>
      <sheetData sheetId="0">
        <row r="2">
          <cell r="C2" t="str">
            <v>PT424582059</v>
          </cell>
          <cell r="D2" t="str">
            <v>620000424582059</v>
          </cell>
          <cell r="E2" t="str">
            <v>Grupo 0</v>
          </cell>
          <cell r="F2">
            <v>1</v>
          </cell>
          <cell r="G2" t="str">
            <v>Quinta da França</v>
          </cell>
          <cell r="H2" t="str">
            <v>Macho</v>
          </cell>
          <cell r="I2">
            <v>44685</v>
          </cell>
        </row>
        <row r="3">
          <cell r="C3" t="str">
            <v>PT124582060</v>
          </cell>
          <cell r="D3" t="str">
            <v>620000124582060</v>
          </cell>
          <cell r="E3" t="str">
            <v>Grupo 0</v>
          </cell>
          <cell r="F3">
            <v>1</v>
          </cell>
          <cell r="G3" t="str">
            <v>Quinta da França</v>
          </cell>
          <cell r="H3" t="str">
            <v>Macho</v>
          </cell>
          <cell r="I3">
            <v>44701</v>
          </cell>
        </row>
        <row r="4">
          <cell r="C4" t="str">
            <v>PT824582052</v>
          </cell>
          <cell r="D4" t="str">
            <v>620000824582052</v>
          </cell>
          <cell r="E4" t="str">
            <v>Grupo 0</v>
          </cell>
          <cell r="F4">
            <v>1</v>
          </cell>
          <cell r="G4" t="str">
            <v>Quinta da França</v>
          </cell>
          <cell r="H4" t="str">
            <v>Macho</v>
          </cell>
          <cell r="I4">
            <v>44652</v>
          </cell>
        </row>
        <row r="5">
          <cell r="C5" t="str">
            <v>PT024582056</v>
          </cell>
          <cell r="D5" t="str">
            <v>620000024582056</v>
          </cell>
          <cell r="E5" t="str">
            <v>Grupo 0</v>
          </cell>
          <cell r="F5">
            <v>1</v>
          </cell>
          <cell r="G5" t="str">
            <v>Quinta da França</v>
          </cell>
          <cell r="H5" t="str">
            <v>Macho</v>
          </cell>
          <cell r="I5">
            <v>44682</v>
          </cell>
        </row>
        <row r="6">
          <cell r="C6" t="str">
            <v>PT924582047</v>
          </cell>
          <cell r="D6" t="str">
            <v>620000924582047</v>
          </cell>
          <cell r="E6" t="str">
            <v>Grupo 0</v>
          </cell>
          <cell r="F6">
            <v>1</v>
          </cell>
          <cell r="G6" t="str">
            <v>Quinta da França</v>
          </cell>
          <cell r="H6" t="str">
            <v>Macho</v>
          </cell>
          <cell r="I6">
            <v>44642</v>
          </cell>
        </row>
        <row r="7">
          <cell r="C7" t="str">
            <v>PT424401157</v>
          </cell>
          <cell r="D7">
            <v>960000003516311</v>
          </cell>
          <cell r="E7" t="str">
            <v>TMR_BF</v>
          </cell>
          <cell r="F7">
            <v>2</v>
          </cell>
          <cell r="G7" t="str">
            <v>B</v>
          </cell>
          <cell r="H7" t="str">
            <v>Macho</v>
          </cell>
          <cell r="I7">
            <v>44465</v>
          </cell>
        </row>
        <row r="8">
          <cell r="C8" t="str">
            <v>PT433843806</v>
          </cell>
          <cell r="D8">
            <v>900248002085907</v>
          </cell>
          <cell r="E8" t="str">
            <v>TMR_BF</v>
          </cell>
          <cell r="F8">
            <v>2</v>
          </cell>
          <cell r="G8" t="str">
            <v>I</v>
          </cell>
          <cell r="H8" t="str">
            <v>Macho</v>
          </cell>
          <cell r="I8">
            <v>44502</v>
          </cell>
        </row>
        <row r="9">
          <cell r="C9" t="str">
            <v>PT624139868</v>
          </cell>
          <cell r="D9">
            <v>960000003688457</v>
          </cell>
          <cell r="E9" t="str">
            <v>TMR_BF</v>
          </cell>
          <cell r="F9">
            <v>2</v>
          </cell>
          <cell r="G9" t="str">
            <v>H</v>
          </cell>
          <cell r="H9" t="str">
            <v>Macho</v>
          </cell>
          <cell r="I9">
            <v>44518</v>
          </cell>
        </row>
        <row r="10">
          <cell r="C10" t="str">
            <v>PT833653644</v>
          </cell>
          <cell r="D10">
            <v>960000003827747</v>
          </cell>
          <cell r="E10" t="str">
            <v>TMR_BF</v>
          </cell>
          <cell r="F10">
            <v>2</v>
          </cell>
          <cell r="G10" t="str">
            <v>D</v>
          </cell>
          <cell r="H10" t="str">
            <v>Macho</v>
          </cell>
          <cell r="I10">
            <v>44510</v>
          </cell>
        </row>
        <row r="11">
          <cell r="C11" t="str">
            <v>PT933843912</v>
          </cell>
          <cell r="D11">
            <v>900248002084301</v>
          </cell>
          <cell r="E11" t="str">
            <v>TMR_BF</v>
          </cell>
          <cell r="F11">
            <v>2</v>
          </cell>
          <cell r="G11" t="str">
            <v>C</v>
          </cell>
          <cell r="H11" t="str">
            <v>Macho</v>
          </cell>
          <cell r="I11">
            <v>44560</v>
          </cell>
        </row>
        <row r="12">
          <cell r="C12" t="str">
            <v>PT333842562</v>
          </cell>
          <cell r="D12">
            <v>960000003608633</v>
          </cell>
          <cell r="E12" t="str">
            <v>Control</v>
          </cell>
          <cell r="F12">
            <v>3</v>
          </cell>
          <cell r="G12" t="str">
            <v>E</v>
          </cell>
          <cell r="H12" t="str">
            <v>Macho</v>
          </cell>
          <cell r="I12">
            <v>44541</v>
          </cell>
        </row>
        <row r="13">
          <cell r="C13" t="str">
            <v>PT524401180</v>
          </cell>
          <cell r="D13">
            <v>960000003664778</v>
          </cell>
          <cell r="E13" t="str">
            <v>Control</v>
          </cell>
          <cell r="F13">
            <v>3</v>
          </cell>
          <cell r="G13" t="str">
            <v>B</v>
          </cell>
          <cell r="H13" t="str">
            <v>Macho</v>
          </cell>
          <cell r="I13">
            <v>44496</v>
          </cell>
        </row>
        <row r="14">
          <cell r="C14" t="str">
            <v>PT533987885</v>
          </cell>
          <cell r="D14">
            <v>960000003688522</v>
          </cell>
          <cell r="E14" t="str">
            <v>Control</v>
          </cell>
          <cell r="F14">
            <v>3</v>
          </cell>
          <cell r="G14" t="str">
            <v>A</v>
          </cell>
          <cell r="H14" t="str">
            <v>Macho</v>
          </cell>
          <cell r="I14">
            <v>44497</v>
          </cell>
        </row>
        <row r="15">
          <cell r="C15" t="str">
            <v>PT833653649</v>
          </cell>
          <cell r="D15">
            <v>960000003827766</v>
          </cell>
          <cell r="E15" t="str">
            <v>Control</v>
          </cell>
          <cell r="F15">
            <v>3</v>
          </cell>
          <cell r="G15" t="str">
            <v>D</v>
          </cell>
          <cell r="H15" t="str">
            <v>Macho</v>
          </cell>
          <cell r="I15">
            <v>44516</v>
          </cell>
        </row>
        <row r="16">
          <cell r="C16" t="str">
            <v>PT933843894</v>
          </cell>
          <cell r="D16">
            <v>900248002084626</v>
          </cell>
          <cell r="E16" t="str">
            <v>Control</v>
          </cell>
          <cell r="F16">
            <v>3</v>
          </cell>
          <cell r="G16" t="str">
            <v>C</v>
          </cell>
          <cell r="H16" t="str">
            <v>Macho</v>
          </cell>
          <cell r="I16">
            <v>44521</v>
          </cell>
        </row>
        <row r="17">
          <cell r="C17" t="str">
            <v>PT224401177</v>
          </cell>
          <cell r="D17">
            <v>960000003687554</v>
          </cell>
          <cell r="E17" t="str">
            <v>Control</v>
          </cell>
          <cell r="F17">
            <v>4</v>
          </cell>
          <cell r="G17" t="str">
            <v>B</v>
          </cell>
          <cell r="H17" t="str">
            <v>Macho</v>
          </cell>
          <cell r="I17">
            <v>44492</v>
          </cell>
        </row>
        <row r="18">
          <cell r="C18" t="str">
            <v>PT524956505</v>
          </cell>
          <cell r="D18">
            <v>960000003599578</v>
          </cell>
          <cell r="E18" t="str">
            <v>Control</v>
          </cell>
          <cell r="F18">
            <v>4</v>
          </cell>
          <cell r="G18" t="str">
            <v>F</v>
          </cell>
          <cell r="H18" t="str">
            <v>Macho</v>
          </cell>
          <cell r="I18">
            <v>44519</v>
          </cell>
        </row>
        <row r="19">
          <cell r="C19" t="str">
            <v>PT533843896</v>
          </cell>
          <cell r="D19">
            <v>960000003688521</v>
          </cell>
          <cell r="E19" t="str">
            <v>Control</v>
          </cell>
          <cell r="F19">
            <v>4</v>
          </cell>
          <cell r="G19" t="str">
            <v>C</v>
          </cell>
          <cell r="H19" t="str">
            <v>Macho</v>
          </cell>
          <cell r="I19">
            <v>44518</v>
          </cell>
        </row>
        <row r="20">
          <cell r="C20" t="str">
            <v>PT924401183</v>
          </cell>
          <cell r="D20">
            <v>960000003688523</v>
          </cell>
          <cell r="E20" t="str">
            <v>Control</v>
          </cell>
          <cell r="F20">
            <v>4</v>
          </cell>
          <cell r="G20" t="str">
            <v>B</v>
          </cell>
          <cell r="H20" t="str">
            <v>Macho</v>
          </cell>
          <cell r="I20">
            <v>44502</v>
          </cell>
        </row>
        <row r="21">
          <cell r="C21" t="str">
            <v>PT933602927</v>
          </cell>
          <cell r="D21">
            <v>960000003516091</v>
          </cell>
          <cell r="E21" t="str">
            <v>Control</v>
          </cell>
          <cell r="F21">
            <v>4</v>
          </cell>
          <cell r="G21" t="str">
            <v>A</v>
          </cell>
          <cell r="H21" t="str">
            <v>Macho</v>
          </cell>
          <cell r="I21">
            <v>44476</v>
          </cell>
        </row>
        <row r="22">
          <cell r="C22" t="str">
            <v>PT033634130</v>
          </cell>
          <cell r="D22">
            <v>900248002329588</v>
          </cell>
          <cell r="E22" t="str">
            <v>TMR_BF</v>
          </cell>
          <cell r="F22">
            <v>5</v>
          </cell>
          <cell r="G22" t="str">
            <v>A</v>
          </cell>
          <cell r="H22" t="str">
            <v>Macho</v>
          </cell>
          <cell r="I22">
            <v>44482</v>
          </cell>
        </row>
        <row r="23">
          <cell r="C23" t="str">
            <v>PT233843883</v>
          </cell>
          <cell r="D23">
            <v>960000003688554</v>
          </cell>
          <cell r="E23" t="str">
            <v>TMR_BF</v>
          </cell>
          <cell r="F23">
            <v>5</v>
          </cell>
          <cell r="G23" t="str">
            <v>C</v>
          </cell>
          <cell r="H23" t="str">
            <v>Macho</v>
          </cell>
          <cell r="I23">
            <v>44519</v>
          </cell>
        </row>
        <row r="24">
          <cell r="C24" t="str">
            <v>PT333653651</v>
          </cell>
          <cell r="D24">
            <v>982126052197644</v>
          </cell>
          <cell r="E24" t="str">
            <v>TMR_BF</v>
          </cell>
          <cell r="F24">
            <v>5</v>
          </cell>
          <cell r="G24" t="str">
            <v>D</v>
          </cell>
          <cell r="H24" t="str">
            <v>Macho</v>
          </cell>
          <cell r="I24">
            <v>44517</v>
          </cell>
        </row>
        <row r="25">
          <cell r="C25" t="str">
            <v>PT533358890</v>
          </cell>
          <cell r="D25">
            <v>960000003552605</v>
          </cell>
          <cell r="E25" t="str">
            <v>TMR_BF</v>
          </cell>
          <cell r="F25">
            <v>5</v>
          </cell>
          <cell r="G25" t="str">
            <v>B</v>
          </cell>
          <cell r="H25" t="str">
            <v>Macho</v>
          </cell>
          <cell r="I25">
            <v>44513</v>
          </cell>
        </row>
        <row r="26">
          <cell r="C26" t="str">
            <v>PT724523831</v>
          </cell>
          <cell r="D26">
            <v>960000003631473</v>
          </cell>
          <cell r="E26" t="str">
            <v>TMR_BF</v>
          </cell>
          <cell r="F26">
            <v>5</v>
          </cell>
          <cell r="G26" t="str">
            <v>G</v>
          </cell>
          <cell r="H26" t="str">
            <v>Macho</v>
          </cell>
          <cell r="I26">
            <v>44508</v>
          </cell>
        </row>
        <row r="27">
          <cell r="C27" t="str">
            <v>PT433653660</v>
          </cell>
          <cell r="D27">
            <v>960000003827770</v>
          </cell>
          <cell r="E27" t="str">
            <v>Matadouro</v>
          </cell>
          <cell r="F27" t="str">
            <v>M</v>
          </cell>
          <cell r="G27" t="str">
            <v>D</v>
          </cell>
          <cell r="H27" t="str">
            <v>Macho</v>
          </cell>
          <cell r="I27">
            <v>44522</v>
          </cell>
        </row>
        <row r="28">
          <cell r="C28" t="str">
            <v>PT524139859</v>
          </cell>
          <cell r="D28">
            <v>960000003689287</v>
          </cell>
          <cell r="E28" t="str">
            <v>Matadouro</v>
          </cell>
          <cell r="F28" t="str">
            <v>M</v>
          </cell>
          <cell r="G28" t="str">
            <v>H</v>
          </cell>
          <cell r="H28" t="str">
            <v>Macho</v>
          </cell>
          <cell r="I28">
            <v>44518</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nsaio 1"/>
      <sheetName val="Lixo"/>
      <sheetName val="Pesagens"/>
      <sheetName val="Folha1"/>
      <sheetName val="Consumo de alimento"/>
      <sheetName val="Greenfeed Trial 0"/>
      <sheetName val="Greenfeed Trial 0 (emissions)"/>
      <sheetName val="Greenfeed Trial 1"/>
      <sheetName val="Greenfeed Trial 1 (emissions)"/>
      <sheetName val="Perfil emissão metano"/>
      <sheetName val="ACV"/>
    </sheetNames>
    <sheetDataSet>
      <sheetData sheetId="0">
        <row r="2">
          <cell r="A2" t="str">
            <v>620000424582059</v>
          </cell>
          <cell r="C2" t="str">
            <v>PT424582059</v>
          </cell>
          <cell r="D2" t="str">
            <v>620000424582059</v>
          </cell>
          <cell r="E2" t="str">
            <v>Grupo 0</v>
          </cell>
          <cell r="F2">
            <v>1</v>
          </cell>
        </row>
        <row r="3">
          <cell r="A3" t="str">
            <v>620000124582060</v>
          </cell>
          <cell r="C3" t="str">
            <v>PT124582060</v>
          </cell>
          <cell r="D3" t="str">
            <v>620000124582060</v>
          </cell>
          <cell r="E3" t="str">
            <v>Grupo 0</v>
          </cell>
          <cell r="F3">
            <v>1</v>
          </cell>
        </row>
        <row r="4">
          <cell r="A4" t="str">
            <v>620000824582052</v>
          </cell>
          <cell r="C4" t="str">
            <v>PT824582052</v>
          </cell>
          <cell r="D4" t="str">
            <v>620000824582052</v>
          </cell>
          <cell r="E4" t="str">
            <v>Grupo 0</v>
          </cell>
          <cell r="F4">
            <v>1</v>
          </cell>
        </row>
        <row r="5">
          <cell r="A5" t="str">
            <v>620000024582056</v>
          </cell>
          <cell r="C5" t="str">
            <v>PT024582056</v>
          </cell>
          <cell r="D5" t="str">
            <v>620000024582056</v>
          </cell>
          <cell r="E5" t="str">
            <v>Grupo 0</v>
          </cell>
          <cell r="F5">
            <v>1</v>
          </cell>
        </row>
        <row r="6">
          <cell r="A6" t="str">
            <v>620000924582047</v>
          </cell>
          <cell r="C6" t="str">
            <v>PT924582047</v>
          </cell>
          <cell r="D6" t="str">
            <v>620000924582047</v>
          </cell>
          <cell r="E6" t="str">
            <v>Grupo 0</v>
          </cell>
          <cell r="F6">
            <v>1</v>
          </cell>
        </row>
        <row r="7">
          <cell r="A7">
            <v>960000003516311</v>
          </cell>
          <cell r="C7" t="str">
            <v>PT424401157</v>
          </cell>
          <cell r="D7">
            <v>960000003516311</v>
          </cell>
          <cell r="E7" t="str">
            <v>TMR_BF</v>
          </cell>
          <cell r="F7">
            <v>2</v>
          </cell>
        </row>
        <row r="8">
          <cell r="A8">
            <v>900248002085907</v>
          </cell>
          <cell r="C8" t="str">
            <v>PT433843806</v>
          </cell>
          <cell r="D8">
            <v>900248002085907</v>
          </cell>
          <cell r="E8" t="str">
            <v>TMR_BF</v>
          </cell>
          <cell r="F8">
            <v>2</v>
          </cell>
        </row>
        <row r="9">
          <cell r="A9">
            <v>960000003688457</v>
          </cell>
          <cell r="C9" t="str">
            <v>PT624139868</v>
          </cell>
          <cell r="D9">
            <v>960000003688457</v>
          </cell>
          <cell r="E9" t="str">
            <v>TMR_BF</v>
          </cell>
          <cell r="F9">
            <v>2</v>
          </cell>
        </row>
        <row r="10">
          <cell r="A10">
            <v>960000003827747</v>
          </cell>
          <cell r="C10" t="str">
            <v>PT833653644</v>
          </cell>
          <cell r="D10">
            <v>960000003827747</v>
          </cell>
          <cell r="E10" t="str">
            <v>TMR_BF</v>
          </cell>
          <cell r="F10">
            <v>2</v>
          </cell>
        </row>
        <row r="11">
          <cell r="A11">
            <v>900248002084301</v>
          </cell>
          <cell r="C11" t="str">
            <v>PT933843912</v>
          </cell>
          <cell r="D11">
            <v>900248002084301</v>
          </cell>
          <cell r="E11" t="str">
            <v>TMR_BF</v>
          </cell>
          <cell r="F11">
            <v>2</v>
          </cell>
        </row>
        <row r="12">
          <cell r="A12">
            <v>960000003608633</v>
          </cell>
          <cell r="C12" t="str">
            <v>PT333842562</v>
          </cell>
          <cell r="D12">
            <v>960000003608633</v>
          </cell>
          <cell r="E12" t="str">
            <v>Control</v>
          </cell>
          <cell r="F12">
            <v>3</v>
          </cell>
        </row>
        <row r="13">
          <cell r="A13">
            <v>960000003664778</v>
          </cell>
          <cell r="C13" t="str">
            <v>PT524401180</v>
          </cell>
          <cell r="D13">
            <v>960000003664778</v>
          </cell>
          <cell r="E13" t="str">
            <v>Control</v>
          </cell>
          <cell r="F13">
            <v>3</v>
          </cell>
        </row>
        <row r="14">
          <cell r="A14">
            <v>960000003688522</v>
          </cell>
          <cell r="C14" t="str">
            <v>PT533987885</v>
          </cell>
          <cell r="D14">
            <v>960000003688522</v>
          </cell>
          <cell r="E14" t="str">
            <v>Control</v>
          </cell>
          <cell r="F14">
            <v>3</v>
          </cell>
        </row>
        <row r="15">
          <cell r="A15">
            <v>960000003827766</v>
          </cell>
          <cell r="C15" t="str">
            <v>PT833653649</v>
          </cell>
          <cell r="D15">
            <v>960000003827766</v>
          </cell>
          <cell r="E15" t="str">
            <v>Control</v>
          </cell>
          <cell r="F15">
            <v>3</v>
          </cell>
        </row>
        <row r="16">
          <cell r="A16">
            <v>900248002084626</v>
          </cell>
          <cell r="C16" t="str">
            <v>PT933843894</v>
          </cell>
          <cell r="D16">
            <v>900248002084626</v>
          </cell>
          <cell r="E16" t="str">
            <v>Control</v>
          </cell>
          <cell r="F16">
            <v>3</v>
          </cell>
        </row>
        <row r="17">
          <cell r="A17">
            <v>960000003687554</v>
          </cell>
          <cell r="C17" t="str">
            <v>PT224401177</v>
          </cell>
          <cell r="D17">
            <v>960000003687554</v>
          </cell>
          <cell r="E17" t="str">
            <v>Control</v>
          </cell>
          <cell r="F17">
            <v>4</v>
          </cell>
        </row>
        <row r="18">
          <cell r="A18">
            <v>960000003599578</v>
          </cell>
          <cell r="C18" t="str">
            <v>PT524956505</v>
          </cell>
          <cell r="D18">
            <v>960000003599578</v>
          </cell>
          <cell r="E18" t="str">
            <v>Control</v>
          </cell>
          <cell r="F18">
            <v>4</v>
          </cell>
        </row>
        <row r="19">
          <cell r="A19">
            <v>960000003688521</v>
          </cell>
          <cell r="C19" t="str">
            <v>PT533843896</v>
          </cell>
          <cell r="D19">
            <v>960000003688521</v>
          </cell>
          <cell r="E19" t="str">
            <v>Control</v>
          </cell>
          <cell r="F19">
            <v>4</v>
          </cell>
        </row>
        <row r="20">
          <cell r="A20">
            <v>960000003688523</v>
          </cell>
          <cell r="C20" t="str">
            <v>PT924401183</v>
          </cell>
          <cell r="D20">
            <v>960000003688523</v>
          </cell>
          <cell r="E20" t="str">
            <v>Control</v>
          </cell>
          <cell r="F20">
            <v>4</v>
          </cell>
        </row>
        <row r="21">
          <cell r="A21">
            <v>960000003516091</v>
          </cell>
          <cell r="C21" t="str">
            <v>PT933602927</v>
          </cell>
          <cell r="D21">
            <v>960000003516091</v>
          </cell>
          <cell r="E21" t="str">
            <v>Control</v>
          </cell>
          <cell r="F21">
            <v>4</v>
          </cell>
        </row>
        <row r="22">
          <cell r="A22">
            <v>960000003784699</v>
          </cell>
          <cell r="B22">
            <v>900248002329588</v>
          </cell>
          <cell r="C22" t="str">
            <v>PT033634130</v>
          </cell>
          <cell r="D22">
            <v>960000003784699</v>
          </cell>
          <cell r="E22" t="str">
            <v>TMR_BF</v>
          </cell>
          <cell r="F22">
            <v>5</v>
          </cell>
        </row>
        <row r="23">
          <cell r="A23">
            <v>960000003688554</v>
          </cell>
          <cell r="C23" t="str">
            <v>PT233843883</v>
          </cell>
          <cell r="D23">
            <v>960000003688554</v>
          </cell>
          <cell r="E23" t="str">
            <v>TMR_BF</v>
          </cell>
          <cell r="F23">
            <v>5</v>
          </cell>
        </row>
        <row r="24">
          <cell r="A24">
            <v>960000003784722</v>
          </cell>
          <cell r="B24">
            <v>982126052197644</v>
          </cell>
          <cell r="C24" t="str">
            <v>PT333653651</v>
          </cell>
          <cell r="D24">
            <v>960000003784722</v>
          </cell>
          <cell r="E24" t="str">
            <v>TMR_BF</v>
          </cell>
          <cell r="F24">
            <v>5</v>
          </cell>
        </row>
        <row r="25">
          <cell r="A25">
            <v>960000003784731</v>
          </cell>
          <cell r="B25">
            <v>960000003552605</v>
          </cell>
          <cell r="C25" t="str">
            <v>PT533358890</v>
          </cell>
          <cell r="D25">
            <v>960000003784731</v>
          </cell>
          <cell r="E25" t="str">
            <v>TMR_BF</v>
          </cell>
          <cell r="F25">
            <v>5</v>
          </cell>
        </row>
        <row r="26">
          <cell r="A26">
            <v>960000003784740</v>
          </cell>
          <cell r="B26">
            <v>960000003631473</v>
          </cell>
          <cell r="C26" t="str">
            <v>PT724523831</v>
          </cell>
          <cell r="D26">
            <v>960000003784740</v>
          </cell>
          <cell r="E26" t="str">
            <v>TMR_BF</v>
          </cell>
          <cell r="F26">
            <v>5</v>
          </cell>
        </row>
        <row r="27">
          <cell r="A27">
            <v>960000003827770</v>
          </cell>
          <cell r="C27" t="str">
            <v>PT433653660</v>
          </cell>
          <cell r="D27">
            <v>960000003827770</v>
          </cell>
          <cell r="E27" t="str">
            <v>Matadouro</v>
          </cell>
          <cell r="F27" t="str">
            <v>M</v>
          </cell>
        </row>
        <row r="28">
          <cell r="A28">
            <v>960000003689287</v>
          </cell>
          <cell r="C28" t="str">
            <v>PT524139859</v>
          </cell>
          <cell r="D28">
            <v>960000003689287</v>
          </cell>
          <cell r="E28" t="str">
            <v>Matadouro</v>
          </cell>
          <cell r="F28" t="str">
            <v>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hyperlink" Target="mailto:rjbbessa@fmv.ulisboa.p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3"/>
  <sheetViews>
    <sheetView zoomScaleNormal="100" workbookViewId="0">
      <selection activeCell="N1" sqref="N1:N1048576"/>
    </sheetView>
  </sheetViews>
  <sheetFormatPr defaultRowHeight="15" x14ac:dyDescent="0.25"/>
  <cols>
    <col min="1" max="1" width="15.42578125" bestFit="1" customWidth="1"/>
    <col min="2" max="2" width="14" bestFit="1" customWidth="1"/>
    <col min="5" max="5" width="18.7109375" bestFit="1" customWidth="1"/>
    <col min="6" max="9" width="20.140625" bestFit="1" customWidth="1"/>
    <col min="10" max="12" width="25.140625" bestFit="1" customWidth="1"/>
    <col min="13" max="13" width="21.42578125" bestFit="1" customWidth="1"/>
    <col min="14" max="14" width="13.5703125" bestFit="1" customWidth="1"/>
  </cols>
  <sheetData>
    <row r="1" spans="1:14" s="40" customFormat="1" x14ac:dyDescent="0.25">
      <c r="A1" s="76" t="s">
        <v>28</v>
      </c>
      <c r="B1" s="76" t="s">
        <v>49</v>
      </c>
      <c r="C1" s="76" t="s">
        <v>29</v>
      </c>
      <c r="D1" s="76" t="s">
        <v>30</v>
      </c>
      <c r="E1" s="76" t="s">
        <v>31</v>
      </c>
      <c r="F1" s="76" t="s">
        <v>34</v>
      </c>
      <c r="G1" s="77" t="s">
        <v>35</v>
      </c>
      <c r="H1" s="76" t="s">
        <v>36</v>
      </c>
      <c r="I1" s="76" t="s">
        <v>37</v>
      </c>
      <c r="J1" s="76" t="s">
        <v>38</v>
      </c>
      <c r="K1" s="76" t="s">
        <v>39</v>
      </c>
      <c r="L1" s="76" t="s">
        <v>40</v>
      </c>
      <c r="M1" s="76" t="s">
        <v>41</v>
      </c>
      <c r="N1" s="78" t="s">
        <v>56</v>
      </c>
    </row>
    <row r="2" spans="1:14" x14ac:dyDescent="0.25">
      <c r="A2" t="s">
        <v>1</v>
      </c>
      <c r="B2">
        <v>1157</v>
      </c>
      <c r="C2" t="s">
        <v>0</v>
      </c>
      <c r="D2">
        <v>2</v>
      </c>
      <c r="E2" s="3">
        <f>VLOOKUP(A2,'[1]Ensaio 1'!$C$2:$I$28,7,FALSE)</f>
        <v>44465</v>
      </c>
      <c r="F2">
        <v>450</v>
      </c>
      <c r="G2">
        <v>469</v>
      </c>
      <c r="H2">
        <v>482</v>
      </c>
      <c r="I2">
        <v>486</v>
      </c>
      <c r="J2">
        <v>512</v>
      </c>
      <c r="K2">
        <v>540</v>
      </c>
      <c r="L2">
        <v>549</v>
      </c>
      <c r="M2">
        <v>571</v>
      </c>
      <c r="N2" s="39">
        <v>322.61</v>
      </c>
    </row>
    <row r="3" spans="1:14" x14ac:dyDescent="0.25">
      <c r="A3" t="s">
        <v>2</v>
      </c>
      <c r="B3">
        <v>3806</v>
      </c>
      <c r="C3" t="s">
        <v>0</v>
      </c>
      <c r="D3">
        <v>2</v>
      </c>
      <c r="E3" s="3">
        <f>VLOOKUP(A3,'[1]Ensaio 1'!$C$2:$I$28,7,FALSE)</f>
        <v>44502</v>
      </c>
      <c r="F3">
        <v>494</v>
      </c>
      <c r="G3">
        <v>507</v>
      </c>
      <c r="H3">
        <v>532</v>
      </c>
      <c r="I3">
        <v>532</v>
      </c>
      <c r="J3">
        <v>568</v>
      </c>
      <c r="K3">
        <v>600</v>
      </c>
      <c r="L3">
        <v>607</v>
      </c>
      <c r="M3">
        <v>628</v>
      </c>
      <c r="N3" s="39">
        <v>344.17</v>
      </c>
    </row>
    <row r="4" spans="1:14" x14ac:dyDescent="0.25">
      <c r="A4" t="s">
        <v>3</v>
      </c>
      <c r="B4">
        <v>9868</v>
      </c>
      <c r="C4" t="s">
        <v>0</v>
      </c>
      <c r="D4">
        <v>2</v>
      </c>
      <c r="E4" s="3">
        <f>VLOOKUP(A4,'[1]Ensaio 1'!$C$2:$I$28,7,FALSE)</f>
        <v>44518</v>
      </c>
      <c r="F4">
        <v>430</v>
      </c>
      <c r="G4">
        <v>464</v>
      </c>
      <c r="H4">
        <v>470</v>
      </c>
      <c r="I4">
        <v>480</v>
      </c>
      <c r="J4">
        <v>508</v>
      </c>
      <c r="K4">
        <v>542</v>
      </c>
      <c r="L4">
        <v>558</v>
      </c>
      <c r="M4">
        <v>582</v>
      </c>
      <c r="N4" s="39">
        <v>331.04</v>
      </c>
    </row>
    <row r="5" spans="1:14" x14ac:dyDescent="0.25">
      <c r="A5" t="s">
        <v>4</v>
      </c>
      <c r="B5">
        <v>3644</v>
      </c>
      <c r="C5" t="s">
        <v>0</v>
      </c>
      <c r="D5">
        <v>2</v>
      </c>
      <c r="E5" s="3">
        <f>VLOOKUP(A5,'[1]Ensaio 1'!$C$2:$I$28,7,FALSE)</f>
        <v>44510</v>
      </c>
      <c r="F5">
        <v>508</v>
      </c>
      <c r="G5">
        <v>548</v>
      </c>
      <c r="H5">
        <v>544</v>
      </c>
      <c r="I5">
        <v>553</v>
      </c>
      <c r="J5">
        <v>579</v>
      </c>
      <c r="K5">
        <v>603</v>
      </c>
      <c r="L5">
        <v>623</v>
      </c>
      <c r="M5">
        <v>652</v>
      </c>
      <c r="N5" s="39">
        <v>380.42</v>
      </c>
    </row>
    <row r="6" spans="1:14" x14ac:dyDescent="0.25">
      <c r="A6" t="s">
        <v>5</v>
      </c>
      <c r="B6">
        <v>3912</v>
      </c>
      <c r="C6" t="s">
        <v>0</v>
      </c>
      <c r="D6">
        <v>2</v>
      </c>
      <c r="E6" s="3">
        <f>VLOOKUP(A6,'[1]Ensaio 1'!$C$2:$I$28,7,FALSE)</f>
        <v>44560</v>
      </c>
      <c r="F6">
        <v>515</v>
      </c>
      <c r="G6">
        <v>545</v>
      </c>
      <c r="H6">
        <v>561</v>
      </c>
      <c r="I6">
        <v>565</v>
      </c>
      <c r="J6">
        <v>581</v>
      </c>
      <c r="K6">
        <v>616</v>
      </c>
      <c r="L6">
        <v>649</v>
      </c>
      <c r="M6">
        <v>668</v>
      </c>
      <c r="N6" s="39">
        <v>362.2</v>
      </c>
    </row>
    <row r="7" spans="1:14" x14ac:dyDescent="0.25">
      <c r="A7" t="s">
        <v>6</v>
      </c>
      <c r="B7">
        <v>2562</v>
      </c>
      <c r="C7" t="s">
        <v>21</v>
      </c>
      <c r="D7">
        <v>3</v>
      </c>
      <c r="E7" s="3">
        <f>VLOOKUP(A7,'[1]Ensaio 1'!$C$2:$I$28,7,FALSE)</f>
        <v>44541</v>
      </c>
      <c r="F7">
        <v>501</v>
      </c>
      <c r="G7">
        <v>515</v>
      </c>
      <c r="H7">
        <v>535</v>
      </c>
      <c r="I7">
        <v>539</v>
      </c>
      <c r="J7">
        <v>566</v>
      </c>
      <c r="K7">
        <v>594</v>
      </c>
      <c r="L7">
        <v>630</v>
      </c>
      <c r="M7">
        <v>652</v>
      </c>
      <c r="N7" s="39">
        <v>357.3</v>
      </c>
    </row>
    <row r="8" spans="1:14" x14ac:dyDescent="0.25">
      <c r="A8" t="s">
        <v>7</v>
      </c>
      <c r="B8">
        <v>1180</v>
      </c>
      <c r="C8" t="s">
        <v>21</v>
      </c>
      <c r="D8">
        <v>3</v>
      </c>
      <c r="E8" s="3">
        <f>VLOOKUP(A8,'[1]Ensaio 1'!$C$2:$I$28,7,FALSE)</f>
        <v>44496</v>
      </c>
      <c r="F8">
        <v>466</v>
      </c>
      <c r="G8">
        <v>496</v>
      </c>
      <c r="H8">
        <v>503</v>
      </c>
      <c r="I8">
        <v>508</v>
      </c>
      <c r="J8">
        <v>532</v>
      </c>
      <c r="K8">
        <v>560</v>
      </c>
      <c r="L8">
        <v>586</v>
      </c>
      <c r="M8">
        <v>610</v>
      </c>
      <c r="N8" s="39">
        <v>346.52</v>
      </c>
    </row>
    <row r="9" spans="1:14" x14ac:dyDescent="0.25">
      <c r="A9" t="s">
        <v>8</v>
      </c>
      <c r="B9">
        <v>7885</v>
      </c>
      <c r="C9" t="s">
        <v>21</v>
      </c>
      <c r="D9">
        <v>3</v>
      </c>
      <c r="E9" s="3">
        <f>VLOOKUP(A9,'[1]Ensaio 1'!$C$2:$I$28,7,FALSE)</f>
        <v>44497</v>
      </c>
      <c r="F9">
        <v>418</v>
      </c>
      <c r="G9">
        <v>436</v>
      </c>
      <c r="H9">
        <v>449</v>
      </c>
      <c r="I9">
        <v>460</v>
      </c>
      <c r="J9">
        <v>486</v>
      </c>
      <c r="K9">
        <v>502</v>
      </c>
      <c r="L9">
        <v>515</v>
      </c>
      <c r="M9">
        <v>542</v>
      </c>
      <c r="N9" s="39">
        <v>295.36</v>
      </c>
    </row>
    <row r="10" spans="1:14" x14ac:dyDescent="0.25">
      <c r="A10" t="s">
        <v>9</v>
      </c>
      <c r="B10">
        <v>3649</v>
      </c>
      <c r="C10" t="s">
        <v>21</v>
      </c>
      <c r="D10">
        <v>3</v>
      </c>
      <c r="E10" s="3">
        <f>VLOOKUP(A10,'[1]Ensaio 1'!$C$2:$I$28,7,FALSE)</f>
        <v>44516</v>
      </c>
      <c r="F10">
        <v>509</v>
      </c>
      <c r="G10">
        <v>535</v>
      </c>
      <c r="H10">
        <v>546</v>
      </c>
      <c r="I10">
        <v>557</v>
      </c>
      <c r="J10">
        <v>586</v>
      </c>
      <c r="K10">
        <v>613</v>
      </c>
      <c r="L10">
        <v>641</v>
      </c>
      <c r="M10">
        <v>656</v>
      </c>
      <c r="N10" s="39">
        <v>378.08</v>
      </c>
    </row>
    <row r="11" spans="1:14" x14ac:dyDescent="0.25">
      <c r="A11" t="s">
        <v>10</v>
      </c>
      <c r="B11">
        <v>3894</v>
      </c>
      <c r="C11" t="s">
        <v>21</v>
      </c>
      <c r="D11">
        <v>3</v>
      </c>
      <c r="E11" s="3">
        <f>VLOOKUP(A11,'[1]Ensaio 1'!$C$2:$I$28,7,FALSE)</f>
        <v>44521</v>
      </c>
      <c r="F11">
        <v>463</v>
      </c>
      <c r="G11">
        <v>508</v>
      </c>
      <c r="H11">
        <v>521</v>
      </c>
      <c r="I11">
        <v>534</v>
      </c>
      <c r="J11">
        <v>563</v>
      </c>
      <c r="K11">
        <v>583</v>
      </c>
      <c r="L11">
        <v>610</v>
      </c>
      <c r="M11">
        <v>639</v>
      </c>
      <c r="N11" s="39">
        <v>352.2</v>
      </c>
    </row>
    <row r="12" spans="1:14" x14ac:dyDescent="0.25">
      <c r="A12" t="s">
        <v>11</v>
      </c>
      <c r="B12">
        <v>1177</v>
      </c>
      <c r="C12" t="s">
        <v>21</v>
      </c>
      <c r="D12">
        <v>4</v>
      </c>
      <c r="E12" s="3">
        <f>VLOOKUP(A12,'[1]Ensaio 1'!$C$2:$I$28,7,FALSE)</f>
        <v>44492</v>
      </c>
      <c r="F12">
        <v>535</v>
      </c>
      <c r="G12">
        <v>562</v>
      </c>
      <c r="H12">
        <v>589</v>
      </c>
      <c r="I12">
        <v>597</v>
      </c>
      <c r="J12">
        <v>632</v>
      </c>
      <c r="K12">
        <v>660</v>
      </c>
      <c r="L12">
        <v>697</v>
      </c>
      <c r="M12">
        <v>723</v>
      </c>
      <c r="N12" s="39">
        <v>410.61</v>
      </c>
    </row>
    <row r="13" spans="1:14" x14ac:dyDescent="0.25">
      <c r="A13" t="s">
        <v>12</v>
      </c>
      <c r="B13">
        <v>6505</v>
      </c>
      <c r="C13" t="s">
        <v>21</v>
      </c>
      <c r="D13">
        <v>4</v>
      </c>
      <c r="E13" s="3">
        <f>VLOOKUP(A13,'[1]Ensaio 1'!$C$2:$I$28,7,FALSE)</f>
        <v>44519</v>
      </c>
      <c r="F13">
        <v>514</v>
      </c>
      <c r="G13">
        <v>542</v>
      </c>
      <c r="H13">
        <v>567</v>
      </c>
      <c r="I13">
        <v>577</v>
      </c>
      <c r="J13">
        <v>603</v>
      </c>
      <c r="K13">
        <v>638</v>
      </c>
      <c r="L13">
        <v>664</v>
      </c>
      <c r="M13">
        <v>707</v>
      </c>
      <c r="N13" s="39">
        <v>388.07</v>
      </c>
    </row>
    <row r="14" spans="1:14" x14ac:dyDescent="0.25">
      <c r="A14" t="s">
        <v>13</v>
      </c>
      <c r="B14">
        <v>3896</v>
      </c>
      <c r="C14" t="s">
        <v>21</v>
      </c>
      <c r="D14">
        <v>4</v>
      </c>
      <c r="E14" s="3">
        <f>VLOOKUP(A14,'[1]Ensaio 1'!$C$2:$I$28,7,FALSE)</f>
        <v>44518</v>
      </c>
      <c r="F14">
        <v>448</v>
      </c>
      <c r="G14">
        <v>480</v>
      </c>
      <c r="H14">
        <v>492</v>
      </c>
      <c r="I14">
        <v>506</v>
      </c>
      <c r="J14">
        <v>536</v>
      </c>
      <c r="K14">
        <v>551</v>
      </c>
      <c r="L14">
        <v>574</v>
      </c>
      <c r="M14">
        <v>586</v>
      </c>
      <c r="N14" s="39">
        <v>318.49</v>
      </c>
    </row>
    <row r="15" spans="1:14" x14ac:dyDescent="0.25">
      <c r="A15" t="s">
        <v>14</v>
      </c>
      <c r="B15">
        <v>1183</v>
      </c>
      <c r="C15" t="s">
        <v>21</v>
      </c>
      <c r="D15">
        <v>4</v>
      </c>
      <c r="E15" s="3">
        <f>VLOOKUP(A15,'[1]Ensaio 1'!$C$2:$I$28,7,FALSE)</f>
        <v>44502</v>
      </c>
      <c r="F15">
        <v>495</v>
      </c>
      <c r="G15">
        <v>510</v>
      </c>
      <c r="H15">
        <v>543</v>
      </c>
      <c r="I15">
        <v>555</v>
      </c>
      <c r="J15">
        <v>587</v>
      </c>
      <c r="K15">
        <v>624</v>
      </c>
      <c r="L15">
        <v>648</v>
      </c>
      <c r="M15">
        <v>685</v>
      </c>
      <c r="N15" s="39">
        <v>398.46</v>
      </c>
    </row>
    <row r="16" spans="1:14" x14ac:dyDescent="0.25">
      <c r="A16" t="s">
        <v>15</v>
      </c>
      <c r="B16">
        <v>2927</v>
      </c>
      <c r="C16" t="s">
        <v>21</v>
      </c>
      <c r="D16">
        <v>4</v>
      </c>
      <c r="E16" s="3">
        <f>VLOOKUP(A16,'[1]Ensaio 1'!$C$2:$I$28,7,FALSE)</f>
        <v>44476</v>
      </c>
      <c r="F16">
        <v>400</v>
      </c>
      <c r="G16">
        <v>426</v>
      </c>
      <c r="H16">
        <v>450</v>
      </c>
      <c r="I16">
        <v>462</v>
      </c>
      <c r="J16">
        <v>482</v>
      </c>
      <c r="K16">
        <v>497</v>
      </c>
      <c r="L16">
        <v>524</v>
      </c>
      <c r="M16">
        <v>539</v>
      </c>
      <c r="N16" s="39">
        <v>290.07</v>
      </c>
    </row>
    <row r="17" spans="1:14" x14ac:dyDescent="0.25">
      <c r="A17" t="s">
        <v>16</v>
      </c>
      <c r="B17">
        <v>4130</v>
      </c>
      <c r="C17" t="s">
        <v>0</v>
      </c>
      <c r="D17">
        <v>5</v>
      </c>
      <c r="E17" s="3">
        <f>VLOOKUP(A17,'[1]Ensaio 1'!$C$2:$I$28,7,FALSE)</f>
        <v>44482</v>
      </c>
      <c r="F17">
        <v>431</v>
      </c>
      <c r="G17">
        <v>453</v>
      </c>
      <c r="H17">
        <v>468</v>
      </c>
      <c r="I17">
        <v>471</v>
      </c>
      <c r="J17">
        <v>500</v>
      </c>
      <c r="K17">
        <v>517</v>
      </c>
      <c r="L17">
        <v>526</v>
      </c>
      <c r="M17">
        <v>556</v>
      </c>
      <c r="N17" s="39">
        <v>311.05</v>
      </c>
    </row>
    <row r="18" spans="1:14" x14ac:dyDescent="0.25">
      <c r="A18" t="s">
        <v>17</v>
      </c>
      <c r="B18">
        <v>3883</v>
      </c>
      <c r="C18" t="s">
        <v>0</v>
      </c>
      <c r="D18">
        <v>5</v>
      </c>
      <c r="E18" s="3">
        <f>VLOOKUP(A18,'[1]Ensaio 1'!$C$2:$I$28,7,FALSE)</f>
        <v>44519</v>
      </c>
      <c r="F18">
        <v>483</v>
      </c>
      <c r="G18">
        <v>506</v>
      </c>
      <c r="H18">
        <v>525</v>
      </c>
      <c r="I18">
        <v>533</v>
      </c>
      <c r="J18">
        <v>561</v>
      </c>
      <c r="K18">
        <v>583</v>
      </c>
      <c r="L18">
        <v>592</v>
      </c>
      <c r="M18">
        <v>620</v>
      </c>
      <c r="N18" s="39">
        <v>340.25</v>
      </c>
    </row>
    <row r="19" spans="1:14" x14ac:dyDescent="0.25">
      <c r="A19" t="s">
        <v>18</v>
      </c>
      <c r="B19">
        <v>3651</v>
      </c>
      <c r="C19" t="s">
        <v>0</v>
      </c>
      <c r="D19">
        <v>5</v>
      </c>
      <c r="E19" s="3">
        <f>VLOOKUP(A19,'[1]Ensaio 1'!$C$2:$I$28,7,FALSE)</f>
        <v>44517</v>
      </c>
      <c r="F19">
        <v>502</v>
      </c>
      <c r="G19">
        <v>536</v>
      </c>
      <c r="H19">
        <v>548</v>
      </c>
      <c r="I19">
        <v>561</v>
      </c>
      <c r="J19">
        <v>589</v>
      </c>
      <c r="K19">
        <v>603</v>
      </c>
      <c r="L19">
        <v>615</v>
      </c>
      <c r="M19">
        <v>632</v>
      </c>
      <c r="N19" s="39">
        <v>347.7</v>
      </c>
    </row>
    <row r="20" spans="1:14" x14ac:dyDescent="0.25">
      <c r="A20" t="s">
        <v>19</v>
      </c>
      <c r="B20">
        <v>8890</v>
      </c>
      <c r="C20" t="s">
        <v>0</v>
      </c>
      <c r="D20">
        <v>5</v>
      </c>
      <c r="E20" s="3">
        <f>VLOOKUP(A20,'[1]Ensaio 1'!$C$2:$I$28,7,FALSE)</f>
        <v>44513</v>
      </c>
      <c r="F20">
        <v>442</v>
      </c>
      <c r="G20">
        <v>477</v>
      </c>
      <c r="H20">
        <v>493</v>
      </c>
      <c r="I20">
        <v>498</v>
      </c>
      <c r="J20">
        <v>529</v>
      </c>
      <c r="K20">
        <v>551</v>
      </c>
      <c r="L20">
        <v>586</v>
      </c>
      <c r="M20">
        <v>621</v>
      </c>
      <c r="N20" s="39">
        <v>336.72</v>
      </c>
    </row>
    <row r="21" spans="1:14" x14ac:dyDescent="0.25">
      <c r="A21" t="s">
        <v>20</v>
      </c>
      <c r="B21">
        <v>3831</v>
      </c>
      <c r="C21" t="s">
        <v>0</v>
      </c>
      <c r="D21">
        <v>5</v>
      </c>
      <c r="E21" s="3">
        <f>VLOOKUP(A21,'[1]Ensaio 1'!$C$2:$I$28,7,FALSE)</f>
        <v>44508</v>
      </c>
      <c r="F21">
        <v>461</v>
      </c>
      <c r="G21">
        <v>485</v>
      </c>
      <c r="H21">
        <v>505</v>
      </c>
      <c r="I21">
        <v>510</v>
      </c>
      <c r="J21">
        <v>474</v>
      </c>
      <c r="K21">
        <v>504</v>
      </c>
      <c r="L21">
        <v>581</v>
      </c>
      <c r="M21">
        <v>565</v>
      </c>
      <c r="N21" s="39">
        <v>302.22000000000003</v>
      </c>
    </row>
    <row r="23" spans="1:14" x14ac:dyDescent="0.25">
      <c r="F23" s="37" t="s">
        <v>32</v>
      </c>
      <c r="G23" s="38" t="s">
        <v>33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99"/>
  <sheetViews>
    <sheetView topLeftCell="F1" workbookViewId="0">
      <selection activeCell="E2" sqref="E2"/>
    </sheetView>
  </sheetViews>
  <sheetFormatPr defaultRowHeight="15" x14ac:dyDescent="0.25"/>
  <cols>
    <col min="1" max="1" width="10.7109375" bestFit="1" customWidth="1"/>
    <col min="2" max="2" width="12" bestFit="1" customWidth="1"/>
    <col min="8" max="8" width="13.140625" bestFit="1" customWidth="1"/>
    <col min="9" max="9" width="8.7109375" bestFit="1" customWidth="1"/>
  </cols>
  <sheetData>
    <row r="1" spans="1:22" x14ac:dyDescent="0.25">
      <c r="A1" s="2" t="s">
        <v>55</v>
      </c>
      <c r="B1" s="2"/>
      <c r="C1" s="2"/>
      <c r="D1" s="2"/>
      <c r="E1" s="2"/>
      <c r="F1" s="2"/>
      <c r="G1" s="2"/>
      <c r="H1" s="2"/>
    </row>
    <row r="2" spans="1:22" x14ac:dyDescent="0.25">
      <c r="A2" s="1"/>
      <c r="G2" s="96" t="s">
        <v>51</v>
      </c>
      <c r="H2" s="97"/>
      <c r="I2" s="97"/>
      <c r="J2" s="98"/>
      <c r="K2" s="104" t="s">
        <v>52</v>
      </c>
      <c r="L2" s="105"/>
      <c r="M2" s="105"/>
      <c r="N2" s="106"/>
      <c r="O2" s="89" t="s">
        <v>53</v>
      </c>
      <c r="P2" s="89"/>
      <c r="Q2" s="89"/>
      <c r="R2" s="89"/>
      <c r="S2" s="91" t="s">
        <v>54</v>
      </c>
      <c r="T2" s="91"/>
      <c r="U2" s="91"/>
      <c r="V2" s="91"/>
    </row>
    <row r="3" spans="1:22" x14ac:dyDescent="0.25">
      <c r="A3" s="4"/>
      <c r="B3" s="94" t="s">
        <v>50</v>
      </c>
      <c r="C3" s="94"/>
      <c r="D3" s="94"/>
      <c r="E3" s="95"/>
      <c r="F3" s="17"/>
      <c r="G3" s="99"/>
      <c r="H3" s="100"/>
      <c r="I3" s="100"/>
      <c r="J3" s="101"/>
      <c r="K3" s="102" t="s">
        <v>21</v>
      </c>
      <c r="L3" s="103"/>
      <c r="M3" s="102" t="s">
        <v>0</v>
      </c>
      <c r="N3" s="103"/>
      <c r="O3" s="90" t="s">
        <v>21</v>
      </c>
      <c r="P3" s="90"/>
      <c r="Q3" s="90" t="s">
        <v>0</v>
      </c>
      <c r="R3" s="90"/>
      <c r="S3" s="92" t="s">
        <v>21</v>
      </c>
      <c r="T3" s="92"/>
      <c r="U3" s="92" t="s">
        <v>0</v>
      </c>
      <c r="V3" s="93"/>
    </row>
    <row r="4" spans="1:22" s="40" customFormat="1" ht="15.75" thickBot="1" x14ac:dyDescent="0.3">
      <c r="A4" s="41" t="s">
        <v>44</v>
      </c>
      <c r="B4" s="42" t="s">
        <v>45</v>
      </c>
      <c r="C4" s="42" t="s">
        <v>46</v>
      </c>
      <c r="D4" s="42" t="s">
        <v>47</v>
      </c>
      <c r="E4" s="43" t="s">
        <v>48</v>
      </c>
      <c r="G4" s="44" t="s">
        <v>45</v>
      </c>
      <c r="H4" s="44" t="s">
        <v>46</v>
      </c>
      <c r="I4" s="44" t="s">
        <v>47</v>
      </c>
      <c r="J4" s="45" t="s">
        <v>48</v>
      </c>
      <c r="K4" s="46" t="s">
        <v>45</v>
      </c>
      <c r="L4" s="47" t="s">
        <v>46</v>
      </c>
      <c r="M4" s="46" t="s">
        <v>47</v>
      </c>
      <c r="N4" s="47" t="s">
        <v>48</v>
      </c>
      <c r="O4" s="48" t="s">
        <v>45</v>
      </c>
      <c r="P4" s="48" t="s">
        <v>46</v>
      </c>
      <c r="Q4" s="48" t="s">
        <v>47</v>
      </c>
      <c r="R4" s="48" t="s">
        <v>48</v>
      </c>
      <c r="S4" s="49" t="s">
        <v>22</v>
      </c>
      <c r="T4" s="49" t="s">
        <v>23</v>
      </c>
      <c r="U4" s="49" t="s">
        <v>24</v>
      </c>
      <c r="V4" s="50" t="s">
        <v>25</v>
      </c>
    </row>
    <row r="5" spans="1:22" ht="16.5" thickTop="1" thickBot="1" x14ac:dyDescent="0.3">
      <c r="A5" s="6">
        <v>44918</v>
      </c>
      <c r="B5" s="7">
        <v>30.6</v>
      </c>
      <c r="C5" s="7">
        <v>30.6</v>
      </c>
      <c r="D5" s="7">
        <v>114.25</v>
      </c>
      <c r="E5" s="8">
        <v>114.25</v>
      </c>
      <c r="G5" s="18">
        <v>0</v>
      </c>
      <c r="H5" s="18">
        <v>0</v>
      </c>
      <c r="I5" s="18">
        <v>0</v>
      </c>
      <c r="J5" s="19">
        <v>0</v>
      </c>
      <c r="K5" s="31">
        <v>30.6</v>
      </c>
      <c r="L5" s="32">
        <v>30.6</v>
      </c>
      <c r="M5" s="31">
        <v>114.25</v>
      </c>
      <c r="N5" s="32">
        <v>114.25</v>
      </c>
      <c r="O5" s="33">
        <f t="shared" ref="O5:R20" si="0">K5/5</f>
        <v>6.12</v>
      </c>
      <c r="P5" s="33">
        <f t="shared" si="0"/>
        <v>6.12</v>
      </c>
      <c r="Q5" s="33">
        <f t="shared" si="0"/>
        <v>22.85</v>
      </c>
      <c r="R5" s="33">
        <f t="shared" si="0"/>
        <v>22.85</v>
      </c>
      <c r="S5" s="33">
        <f>O5*86.2%</f>
        <v>5.2754399999999997</v>
      </c>
      <c r="T5" s="33">
        <f>P5*86.2%</f>
        <v>5.2754399999999997</v>
      </c>
      <c r="U5" s="33">
        <f>Q5*39.3%</f>
        <v>8.9800500000000003</v>
      </c>
      <c r="V5" s="34">
        <f>R5*39.3%</f>
        <v>8.9800500000000003</v>
      </c>
    </row>
    <row r="6" spans="1:22" ht="16.5" thickTop="1" thickBot="1" x14ac:dyDescent="0.3">
      <c r="A6" s="6">
        <v>44920</v>
      </c>
      <c r="B6" s="7">
        <v>55.6</v>
      </c>
      <c r="C6" s="7">
        <v>55.6</v>
      </c>
      <c r="D6" s="7">
        <v>124.6</v>
      </c>
      <c r="E6" s="8">
        <v>124.6</v>
      </c>
      <c r="G6" s="18">
        <v>0</v>
      </c>
      <c r="H6" s="18">
        <v>18</v>
      </c>
      <c r="I6" s="18">
        <f>18.1+22.4</f>
        <v>40.5</v>
      </c>
      <c r="J6" s="19">
        <v>18.2</v>
      </c>
      <c r="K6" s="31">
        <v>55.6</v>
      </c>
      <c r="L6" s="32">
        <v>37.6</v>
      </c>
      <c r="M6" s="31">
        <v>84.1</v>
      </c>
      <c r="N6" s="32">
        <v>106.39999999999999</v>
      </c>
      <c r="O6" s="33">
        <f t="shared" si="0"/>
        <v>11.120000000000001</v>
      </c>
      <c r="P6" s="33">
        <f t="shared" si="0"/>
        <v>7.5200000000000005</v>
      </c>
      <c r="Q6" s="33">
        <f t="shared" si="0"/>
        <v>16.82</v>
      </c>
      <c r="R6" s="33">
        <f t="shared" si="0"/>
        <v>21.279999999999998</v>
      </c>
      <c r="S6" s="33">
        <f>O6*86.2%</f>
        <v>9.5854400000000002</v>
      </c>
      <c r="T6" s="33">
        <f t="shared" ref="T6:T69" si="1">P6*86.2%</f>
        <v>6.48224</v>
      </c>
      <c r="U6" s="33">
        <f>Q6*39.3%</f>
        <v>6.6102599999999994</v>
      </c>
      <c r="V6" s="34">
        <f t="shared" ref="V6:V69" si="2">R6*39.3%</f>
        <v>8.363039999999998</v>
      </c>
    </row>
    <row r="7" spans="1:22" ht="16.5" thickTop="1" thickBot="1" x14ac:dyDescent="0.3">
      <c r="A7" s="6">
        <v>44921</v>
      </c>
      <c r="B7" s="7">
        <v>55.75</v>
      </c>
      <c r="C7" s="7">
        <v>55.75</v>
      </c>
      <c r="D7" s="7">
        <v>127.15</v>
      </c>
      <c r="E7" s="8">
        <v>127.15</v>
      </c>
      <c r="G7" s="18">
        <v>4.5999999999999996</v>
      </c>
      <c r="H7" s="18">
        <v>12.7</v>
      </c>
      <c r="I7" s="18">
        <v>33</v>
      </c>
      <c r="J7" s="19">
        <v>28.7</v>
      </c>
      <c r="K7" s="31">
        <v>51.15</v>
      </c>
      <c r="L7" s="32">
        <v>43.05</v>
      </c>
      <c r="M7" s="31">
        <v>94.15</v>
      </c>
      <c r="N7" s="32">
        <v>98.45</v>
      </c>
      <c r="O7" s="33">
        <f t="shared" si="0"/>
        <v>10.23</v>
      </c>
      <c r="P7" s="33">
        <f t="shared" si="0"/>
        <v>8.61</v>
      </c>
      <c r="Q7" s="33">
        <f t="shared" si="0"/>
        <v>18.830000000000002</v>
      </c>
      <c r="R7" s="33">
        <f t="shared" si="0"/>
        <v>19.690000000000001</v>
      </c>
      <c r="S7" s="33">
        <f>O7*86.2%</f>
        <v>8.8182600000000004</v>
      </c>
      <c r="T7" s="33">
        <f t="shared" si="1"/>
        <v>7.4218199999999994</v>
      </c>
      <c r="U7" s="33">
        <f t="shared" ref="U7:U70" si="3">Q7*39.3%</f>
        <v>7.4001900000000003</v>
      </c>
      <c r="V7" s="34">
        <f t="shared" si="2"/>
        <v>7.7381699999999993</v>
      </c>
    </row>
    <row r="8" spans="1:22" ht="16.5" thickTop="1" thickBot="1" x14ac:dyDescent="0.3">
      <c r="A8" s="6">
        <v>44922</v>
      </c>
      <c r="B8" s="7">
        <v>55.6</v>
      </c>
      <c r="C8" s="7">
        <v>55.6</v>
      </c>
      <c r="D8" s="7">
        <v>125</v>
      </c>
      <c r="E8" s="8">
        <v>125</v>
      </c>
      <c r="G8" s="18">
        <v>7.2</v>
      </c>
      <c r="H8" s="18">
        <v>4.5999999999999996</v>
      </c>
      <c r="I8" s="18">
        <v>31.5</v>
      </c>
      <c r="J8" s="19">
        <v>21.5</v>
      </c>
      <c r="K8" s="31">
        <v>48.4</v>
      </c>
      <c r="L8" s="32">
        <v>51</v>
      </c>
      <c r="M8" s="31">
        <v>93.5</v>
      </c>
      <c r="N8" s="32">
        <v>103.5</v>
      </c>
      <c r="O8" s="33">
        <f t="shared" si="0"/>
        <v>9.68</v>
      </c>
      <c r="P8" s="33">
        <f t="shared" si="0"/>
        <v>10.199999999999999</v>
      </c>
      <c r="Q8" s="33">
        <f t="shared" si="0"/>
        <v>18.7</v>
      </c>
      <c r="R8" s="33">
        <f t="shared" si="0"/>
        <v>20.7</v>
      </c>
      <c r="S8" s="33">
        <f t="shared" ref="S8:S71" si="4">O8*86.2%</f>
        <v>8.3441600000000005</v>
      </c>
      <c r="T8" s="33">
        <f t="shared" si="1"/>
        <v>8.7923999999999989</v>
      </c>
      <c r="U8" s="33">
        <f t="shared" si="3"/>
        <v>7.3490999999999991</v>
      </c>
      <c r="V8" s="34">
        <f t="shared" si="2"/>
        <v>8.1350999999999996</v>
      </c>
    </row>
    <row r="9" spans="1:22" ht="16.5" thickTop="1" thickBot="1" x14ac:dyDescent="0.3">
      <c r="A9" s="6">
        <v>44923</v>
      </c>
      <c r="B9" s="7">
        <v>55.7</v>
      </c>
      <c r="C9" s="7">
        <v>55.7</v>
      </c>
      <c r="D9" s="7">
        <v>125.1</v>
      </c>
      <c r="E9" s="8">
        <v>125.1</v>
      </c>
      <c r="G9" s="18">
        <v>6.1</v>
      </c>
      <c r="H9" s="18">
        <v>2.9</v>
      </c>
      <c r="I9" s="18">
        <v>20.9</v>
      </c>
      <c r="J9" s="19">
        <v>11.3</v>
      </c>
      <c r="K9" s="31">
        <v>49.6</v>
      </c>
      <c r="L9" s="32">
        <v>52.800000000000004</v>
      </c>
      <c r="M9" s="31">
        <v>104.19999999999999</v>
      </c>
      <c r="N9" s="32">
        <v>113.8</v>
      </c>
      <c r="O9" s="33">
        <f t="shared" si="0"/>
        <v>9.92</v>
      </c>
      <c r="P9" s="33">
        <f t="shared" si="0"/>
        <v>10.56</v>
      </c>
      <c r="Q9" s="33">
        <f t="shared" si="0"/>
        <v>20.839999999999996</v>
      </c>
      <c r="R9" s="33">
        <f t="shared" si="0"/>
        <v>22.759999999999998</v>
      </c>
      <c r="S9" s="33">
        <f t="shared" si="4"/>
        <v>8.5510400000000004</v>
      </c>
      <c r="T9" s="33">
        <f t="shared" si="1"/>
        <v>9.1027199999999997</v>
      </c>
      <c r="U9" s="33">
        <f t="shared" si="3"/>
        <v>8.1901199999999985</v>
      </c>
      <c r="V9" s="34">
        <f t="shared" si="2"/>
        <v>8.9446799999999982</v>
      </c>
    </row>
    <row r="10" spans="1:22" ht="16.5" thickTop="1" thickBot="1" x14ac:dyDescent="0.3">
      <c r="A10" s="6">
        <v>44924</v>
      </c>
      <c r="B10" s="7">
        <v>55.75</v>
      </c>
      <c r="C10" s="7">
        <v>55.75</v>
      </c>
      <c r="D10" s="7">
        <v>125.14999999999999</v>
      </c>
      <c r="E10" s="8">
        <v>125.14999999999999</v>
      </c>
      <c r="G10" s="18">
        <v>4</v>
      </c>
      <c r="H10" s="18">
        <v>2.6</v>
      </c>
      <c r="I10" s="18">
        <v>7.6</v>
      </c>
      <c r="J10" s="19">
        <v>9.6999999999999993</v>
      </c>
      <c r="K10" s="31">
        <v>51.75</v>
      </c>
      <c r="L10" s="32">
        <v>53.15</v>
      </c>
      <c r="M10" s="31">
        <v>117.55</v>
      </c>
      <c r="N10" s="32">
        <v>115.44999999999999</v>
      </c>
      <c r="O10" s="33">
        <f t="shared" si="0"/>
        <v>10.35</v>
      </c>
      <c r="P10" s="33">
        <f t="shared" si="0"/>
        <v>10.629999999999999</v>
      </c>
      <c r="Q10" s="33">
        <f t="shared" si="0"/>
        <v>23.509999999999998</v>
      </c>
      <c r="R10" s="33">
        <f t="shared" si="0"/>
        <v>23.089999999999996</v>
      </c>
      <c r="S10" s="33">
        <f t="shared" si="4"/>
        <v>8.9216999999999995</v>
      </c>
      <c r="T10" s="33">
        <f t="shared" si="1"/>
        <v>9.1630599999999998</v>
      </c>
      <c r="U10" s="33">
        <f t="shared" si="3"/>
        <v>9.2394299999999987</v>
      </c>
      <c r="V10" s="34">
        <f t="shared" si="2"/>
        <v>9.0743699999999983</v>
      </c>
    </row>
    <row r="11" spans="1:22" ht="16.5" thickTop="1" thickBot="1" x14ac:dyDescent="0.3">
      <c r="A11" s="6">
        <v>44925</v>
      </c>
      <c r="B11" s="7">
        <v>61.35</v>
      </c>
      <c r="C11" s="7">
        <v>61.35</v>
      </c>
      <c r="D11" s="7">
        <v>137.81</v>
      </c>
      <c r="E11" s="8">
        <v>137.81</v>
      </c>
      <c r="G11" s="18">
        <v>6.5</v>
      </c>
      <c r="H11" s="18">
        <v>3.4</v>
      </c>
      <c r="I11" s="18">
        <v>19.399999999999999</v>
      </c>
      <c r="J11" s="19">
        <v>25.5</v>
      </c>
      <c r="K11" s="31">
        <v>54.85</v>
      </c>
      <c r="L11" s="32">
        <v>57.95</v>
      </c>
      <c r="M11" s="31">
        <v>118.41</v>
      </c>
      <c r="N11" s="32">
        <v>112.31</v>
      </c>
      <c r="O11" s="33">
        <f t="shared" si="0"/>
        <v>10.97</v>
      </c>
      <c r="P11" s="33">
        <f t="shared" si="0"/>
        <v>11.59</v>
      </c>
      <c r="Q11" s="33">
        <f t="shared" si="0"/>
        <v>23.681999999999999</v>
      </c>
      <c r="R11" s="33">
        <f t="shared" si="0"/>
        <v>22.462</v>
      </c>
      <c r="S11" s="33">
        <f t="shared" si="4"/>
        <v>9.4561399999999995</v>
      </c>
      <c r="T11" s="33">
        <f t="shared" si="1"/>
        <v>9.9905799999999996</v>
      </c>
      <c r="U11" s="33">
        <f t="shared" si="3"/>
        <v>9.3070259999999987</v>
      </c>
      <c r="V11" s="34">
        <f t="shared" si="2"/>
        <v>8.8275659999999991</v>
      </c>
    </row>
    <row r="12" spans="1:22" ht="16.5" thickTop="1" thickBot="1" x14ac:dyDescent="0.3">
      <c r="A12" s="6">
        <v>44926</v>
      </c>
      <c r="B12" s="7">
        <v>61.6</v>
      </c>
      <c r="C12" s="7">
        <v>61.6</v>
      </c>
      <c r="D12" s="7">
        <v>137.96</v>
      </c>
      <c r="E12" s="8">
        <v>137.96</v>
      </c>
      <c r="G12" s="18">
        <v>2.8</v>
      </c>
      <c r="H12" s="18">
        <v>1.8</v>
      </c>
      <c r="I12" s="18">
        <v>16.5</v>
      </c>
      <c r="J12" s="19">
        <v>11.7</v>
      </c>
      <c r="K12" s="31">
        <v>58.800000000000004</v>
      </c>
      <c r="L12" s="32">
        <v>59.800000000000004</v>
      </c>
      <c r="M12" s="31">
        <v>121.46000000000001</v>
      </c>
      <c r="N12" s="32">
        <v>126.26</v>
      </c>
      <c r="O12" s="33">
        <f t="shared" si="0"/>
        <v>11.760000000000002</v>
      </c>
      <c r="P12" s="33">
        <f t="shared" si="0"/>
        <v>11.96</v>
      </c>
      <c r="Q12" s="33">
        <f t="shared" si="0"/>
        <v>24.292000000000002</v>
      </c>
      <c r="R12" s="33">
        <f t="shared" si="0"/>
        <v>25.252000000000002</v>
      </c>
      <c r="S12" s="33">
        <f t="shared" si="4"/>
        <v>10.137120000000001</v>
      </c>
      <c r="T12" s="33">
        <f t="shared" si="1"/>
        <v>10.309520000000001</v>
      </c>
      <c r="U12" s="33">
        <f t="shared" si="3"/>
        <v>9.5467560000000002</v>
      </c>
      <c r="V12" s="34">
        <f t="shared" si="2"/>
        <v>9.9240359999999992</v>
      </c>
    </row>
    <row r="13" spans="1:22" ht="16.5" thickTop="1" thickBot="1" x14ac:dyDescent="0.3">
      <c r="A13" s="6">
        <v>44927</v>
      </c>
      <c r="B13" s="7">
        <v>61.91</v>
      </c>
      <c r="C13" s="7">
        <v>61.91</v>
      </c>
      <c r="D13" s="7">
        <v>138.16</v>
      </c>
      <c r="E13" s="8">
        <v>138.16</v>
      </c>
      <c r="G13" s="18">
        <v>13.5</v>
      </c>
      <c r="H13" s="18">
        <v>9.1</v>
      </c>
      <c r="I13" s="18">
        <v>30.5</v>
      </c>
      <c r="J13" s="19">
        <v>36.200000000000003</v>
      </c>
      <c r="K13" s="31">
        <v>48.41</v>
      </c>
      <c r="L13" s="32">
        <v>52.809999999999995</v>
      </c>
      <c r="M13" s="31">
        <v>107.66</v>
      </c>
      <c r="N13" s="32">
        <v>101.96</v>
      </c>
      <c r="O13" s="33">
        <f t="shared" si="0"/>
        <v>9.6819999999999986</v>
      </c>
      <c r="P13" s="33">
        <f t="shared" si="0"/>
        <v>10.561999999999999</v>
      </c>
      <c r="Q13" s="33">
        <f t="shared" si="0"/>
        <v>21.532</v>
      </c>
      <c r="R13" s="33">
        <f t="shared" si="0"/>
        <v>20.391999999999999</v>
      </c>
      <c r="S13" s="33">
        <f t="shared" si="4"/>
        <v>8.3458839999999981</v>
      </c>
      <c r="T13" s="33">
        <f t="shared" si="1"/>
        <v>9.1044439999999991</v>
      </c>
      <c r="U13" s="33">
        <f t="shared" si="3"/>
        <v>8.4620759999999997</v>
      </c>
      <c r="V13" s="34">
        <f t="shared" si="2"/>
        <v>8.0140559999999983</v>
      </c>
    </row>
    <row r="14" spans="1:22" ht="16.5" thickTop="1" thickBot="1" x14ac:dyDescent="0.3">
      <c r="A14" s="12">
        <v>44928</v>
      </c>
      <c r="B14" s="9">
        <v>62.66</v>
      </c>
      <c r="C14" s="9">
        <v>62.66</v>
      </c>
      <c r="D14" s="9">
        <v>137.69999999999999</v>
      </c>
      <c r="E14" s="10">
        <v>137.69999999999999</v>
      </c>
      <c r="G14" s="13">
        <v>10.9</v>
      </c>
      <c r="H14" s="13">
        <v>10.1</v>
      </c>
      <c r="I14" s="13">
        <v>22.1</v>
      </c>
      <c r="J14" s="14">
        <v>9.1</v>
      </c>
      <c r="K14" s="20">
        <v>51.76</v>
      </c>
      <c r="L14" s="21">
        <v>52.559999999999995</v>
      </c>
      <c r="M14" s="20">
        <v>115.6</v>
      </c>
      <c r="N14" s="21">
        <v>128.6</v>
      </c>
      <c r="O14" s="24">
        <f t="shared" si="0"/>
        <v>10.352</v>
      </c>
      <c r="P14" s="24">
        <f t="shared" si="0"/>
        <v>10.511999999999999</v>
      </c>
      <c r="Q14" s="24">
        <f t="shared" si="0"/>
        <v>23.119999999999997</v>
      </c>
      <c r="R14" s="24">
        <f t="shared" si="0"/>
        <v>25.72</v>
      </c>
      <c r="S14" s="26">
        <f t="shared" si="4"/>
        <v>8.9234240000000007</v>
      </c>
      <c r="T14" s="26">
        <f t="shared" si="1"/>
        <v>9.0613439999999983</v>
      </c>
      <c r="U14" s="26">
        <f t="shared" si="3"/>
        <v>9.0861599999999978</v>
      </c>
      <c r="V14" s="27">
        <f t="shared" si="2"/>
        <v>10.107959999999999</v>
      </c>
    </row>
    <row r="15" spans="1:22" ht="16.5" thickTop="1" thickBot="1" x14ac:dyDescent="0.3">
      <c r="A15" s="12">
        <v>44929</v>
      </c>
      <c r="B15" s="9">
        <v>62.1</v>
      </c>
      <c r="C15" s="9">
        <v>62.1</v>
      </c>
      <c r="D15" s="9">
        <v>137.65</v>
      </c>
      <c r="E15" s="10">
        <v>137.65</v>
      </c>
      <c r="G15" s="13">
        <v>10.8</v>
      </c>
      <c r="H15" s="13">
        <v>8.3000000000000007</v>
      </c>
      <c r="I15" s="13">
        <v>26</v>
      </c>
      <c r="J15" s="14">
        <v>12.5</v>
      </c>
      <c r="K15" s="22">
        <v>51.3</v>
      </c>
      <c r="L15" s="23">
        <v>53.8</v>
      </c>
      <c r="M15" s="22">
        <v>111.65</v>
      </c>
      <c r="N15" s="23">
        <v>125.15</v>
      </c>
      <c r="O15" s="24">
        <f t="shared" si="0"/>
        <v>10.26</v>
      </c>
      <c r="P15" s="24">
        <f t="shared" si="0"/>
        <v>10.76</v>
      </c>
      <c r="Q15" s="24">
        <f t="shared" si="0"/>
        <v>22.330000000000002</v>
      </c>
      <c r="R15" s="24">
        <f t="shared" si="0"/>
        <v>25.03</v>
      </c>
      <c r="S15" s="26">
        <f t="shared" si="4"/>
        <v>8.8441200000000002</v>
      </c>
      <c r="T15" s="26">
        <f t="shared" si="1"/>
        <v>9.2751199999999994</v>
      </c>
      <c r="U15" s="26">
        <f t="shared" si="3"/>
        <v>8.7756899999999991</v>
      </c>
      <c r="V15" s="27">
        <f t="shared" si="2"/>
        <v>9.8367899999999988</v>
      </c>
    </row>
    <row r="16" spans="1:22" ht="16.5" thickTop="1" thickBot="1" x14ac:dyDescent="0.3">
      <c r="A16" s="12">
        <v>44930</v>
      </c>
      <c r="B16" s="9">
        <v>62.05</v>
      </c>
      <c r="C16" s="9">
        <v>62.05</v>
      </c>
      <c r="D16" s="9">
        <v>138.5</v>
      </c>
      <c r="E16" s="10">
        <v>138.5</v>
      </c>
      <c r="G16" s="13">
        <v>4.2</v>
      </c>
      <c r="H16" s="13">
        <v>2.9</v>
      </c>
      <c r="I16" s="13">
        <f>19+21.3+16.1+14.2</f>
        <v>70.599999999999994</v>
      </c>
      <c r="J16" s="14">
        <v>0.7</v>
      </c>
      <c r="K16" s="22">
        <v>57.849999999999994</v>
      </c>
      <c r="L16" s="23">
        <v>59.15</v>
      </c>
      <c r="M16" s="22">
        <v>67.900000000000006</v>
      </c>
      <c r="N16" s="23">
        <v>137.80000000000001</v>
      </c>
      <c r="O16" s="24">
        <f t="shared" si="0"/>
        <v>11.569999999999999</v>
      </c>
      <c r="P16" s="24">
        <f t="shared" si="0"/>
        <v>11.83</v>
      </c>
      <c r="Q16" s="24">
        <f t="shared" si="0"/>
        <v>13.580000000000002</v>
      </c>
      <c r="R16" s="24">
        <f t="shared" si="0"/>
        <v>27.560000000000002</v>
      </c>
      <c r="S16" s="26">
        <f t="shared" si="4"/>
        <v>9.9733399999999985</v>
      </c>
      <c r="T16" s="26">
        <f t="shared" si="1"/>
        <v>10.19746</v>
      </c>
      <c r="U16" s="26">
        <f t="shared" si="3"/>
        <v>5.3369400000000002</v>
      </c>
      <c r="V16" s="27">
        <f t="shared" si="2"/>
        <v>10.83108</v>
      </c>
    </row>
    <row r="17" spans="1:22" ht="16.5" thickTop="1" thickBot="1" x14ac:dyDescent="0.3">
      <c r="A17" s="12">
        <v>44931</v>
      </c>
      <c r="B17" s="9">
        <v>62.25</v>
      </c>
      <c r="C17" s="9">
        <v>62.25</v>
      </c>
      <c r="D17" s="9">
        <v>137.65</v>
      </c>
      <c r="E17" s="10">
        <v>137.65</v>
      </c>
      <c r="G17" s="13">
        <v>2</v>
      </c>
      <c r="H17" s="13">
        <v>3.4</v>
      </c>
      <c r="I17" s="13">
        <v>18.399999999999999</v>
      </c>
      <c r="J17" s="14">
        <v>9.4</v>
      </c>
      <c r="K17" s="22">
        <v>60.25</v>
      </c>
      <c r="L17" s="23">
        <v>58.85</v>
      </c>
      <c r="M17" s="22">
        <v>119.25</v>
      </c>
      <c r="N17" s="23">
        <v>128.25</v>
      </c>
      <c r="O17" s="24">
        <f t="shared" si="0"/>
        <v>12.05</v>
      </c>
      <c r="P17" s="24">
        <f t="shared" si="0"/>
        <v>11.77</v>
      </c>
      <c r="Q17" s="24">
        <f t="shared" si="0"/>
        <v>23.85</v>
      </c>
      <c r="R17" s="24">
        <f t="shared" si="0"/>
        <v>25.65</v>
      </c>
      <c r="S17" s="26">
        <f t="shared" si="4"/>
        <v>10.3871</v>
      </c>
      <c r="T17" s="26">
        <f t="shared" si="1"/>
        <v>10.14574</v>
      </c>
      <c r="U17" s="26">
        <f t="shared" si="3"/>
        <v>9.3730499999999992</v>
      </c>
      <c r="V17" s="27">
        <f t="shared" si="2"/>
        <v>10.080449999999999</v>
      </c>
    </row>
    <row r="18" spans="1:22" ht="16.5" thickTop="1" thickBot="1" x14ac:dyDescent="0.3">
      <c r="A18" s="12">
        <v>44932</v>
      </c>
      <c r="B18" s="9">
        <v>67.38</v>
      </c>
      <c r="C18" s="9">
        <v>67.38</v>
      </c>
      <c r="D18" s="9">
        <v>151.19999999999999</v>
      </c>
      <c r="E18" s="10">
        <v>151.19999999999999</v>
      </c>
      <c r="G18" s="13">
        <v>9</v>
      </c>
      <c r="H18" s="13">
        <v>9.4</v>
      </c>
      <c r="I18" s="13">
        <v>48.8</v>
      </c>
      <c r="J18" s="14">
        <v>37.5</v>
      </c>
      <c r="K18" s="22">
        <v>58.379999999999995</v>
      </c>
      <c r="L18" s="23">
        <v>57.98</v>
      </c>
      <c r="M18" s="22">
        <v>102.39999999999999</v>
      </c>
      <c r="N18" s="23">
        <v>113.69999999999999</v>
      </c>
      <c r="O18" s="24">
        <f t="shared" si="0"/>
        <v>11.675999999999998</v>
      </c>
      <c r="P18" s="24">
        <f t="shared" si="0"/>
        <v>11.596</v>
      </c>
      <c r="Q18" s="24">
        <f t="shared" si="0"/>
        <v>20.479999999999997</v>
      </c>
      <c r="R18" s="24">
        <f t="shared" si="0"/>
        <v>22.74</v>
      </c>
      <c r="S18" s="26">
        <f t="shared" si="4"/>
        <v>10.064711999999998</v>
      </c>
      <c r="T18" s="26">
        <f t="shared" si="1"/>
        <v>9.9957519999999995</v>
      </c>
      <c r="U18" s="26">
        <f t="shared" si="3"/>
        <v>8.0486399999999971</v>
      </c>
      <c r="V18" s="27">
        <f t="shared" si="2"/>
        <v>8.9368199999999991</v>
      </c>
    </row>
    <row r="19" spans="1:22" ht="16.5" thickTop="1" thickBot="1" x14ac:dyDescent="0.3">
      <c r="A19" s="12">
        <v>44933</v>
      </c>
      <c r="B19" s="9">
        <v>67.349999999999994</v>
      </c>
      <c r="C19" s="9">
        <v>67.349999999999994</v>
      </c>
      <c r="D19" s="9">
        <v>150.39999999999998</v>
      </c>
      <c r="E19" s="10">
        <v>150.39999999999998</v>
      </c>
      <c r="G19" s="13">
        <v>11.6</v>
      </c>
      <c r="H19" s="13">
        <v>5.4</v>
      </c>
      <c r="I19" s="13">
        <v>45.8</v>
      </c>
      <c r="J19" s="14">
        <v>31.6</v>
      </c>
      <c r="K19" s="22">
        <v>55.749999999999993</v>
      </c>
      <c r="L19" s="23">
        <v>61.949999999999996</v>
      </c>
      <c r="M19" s="22">
        <v>104.59999999999998</v>
      </c>
      <c r="N19" s="23">
        <v>118.79999999999998</v>
      </c>
      <c r="O19" s="24">
        <f t="shared" si="0"/>
        <v>11.149999999999999</v>
      </c>
      <c r="P19" s="24">
        <f t="shared" si="0"/>
        <v>12.389999999999999</v>
      </c>
      <c r="Q19" s="24">
        <f t="shared" si="0"/>
        <v>20.919999999999995</v>
      </c>
      <c r="R19" s="24">
        <f t="shared" si="0"/>
        <v>23.759999999999998</v>
      </c>
      <c r="S19" s="26">
        <f t="shared" si="4"/>
        <v>9.6112999999999982</v>
      </c>
      <c r="T19" s="26">
        <f t="shared" si="1"/>
        <v>10.680179999999998</v>
      </c>
      <c r="U19" s="26">
        <f t="shared" si="3"/>
        <v>8.2215599999999966</v>
      </c>
      <c r="V19" s="27">
        <f t="shared" si="2"/>
        <v>9.3376799999999989</v>
      </c>
    </row>
    <row r="20" spans="1:22" ht="16.5" thickTop="1" thickBot="1" x14ac:dyDescent="0.3">
      <c r="A20" s="12">
        <v>44934</v>
      </c>
      <c r="B20" s="9">
        <v>67.150000000000006</v>
      </c>
      <c r="C20" s="9">
        <v>67.150000000000006</v>
      </c>
      <c r="D20" s="9">
        <v>149.9</v>
      </c>
      <c r="E20" s="10">
        <v>149.9</v>
      </c>
      <c r="G20" s="13">
        <v>8.5</v>
      </c>
      <c r="H20" s="13">
        <v>10.9</v>
      </c>
      <c r="I20" s="13">
        <v>45.2</v>
      </c>
      <c r="J20" s="14">
        <v>10.5</v>
      </c>
      <c r="K20" s="22">
        <v>58.650000000000006</v>
      </c>
      <c r="L20" s="23">
        <v>56.250000000000007</v>
      </c>
      <c r="M20" s="22">
        <v>104.7</v>
      </c>
      <c r="N20" s="23">
        <v>139.4</v>
      </c>
      <c r="O20" s="24">
        <f t="shared" si="0"/>
        <v>11.73</v>
      </c>
      <c r="P20" s="24">
        <f t="shared" si="0"/>
        <v>11.250000000000002</v>
      </c>
      <c r="Q20" s="24">
        <f t="shared" si="0"/>
        <v>20.94</v>
      </c>
      <c r="R20" s="24">
        <f t="shared" si="0"/>
        <v>27.880000000000003</v>
      </c>
      <c r="S20" s="26">
        <f t="shared" si="4"/>
        <v>10.11126</v>
      </c>
      <c r="T20" s="26">
        <f t="shared" si="1"/>
        <v>9.6975000000000016</v>
      </c>
      <c r="U20" s="26">
        <f t="shared" si="3"/>
        <v>8.2294199999999993</v>
      </c>
      <c r="V20" s="27">
        <f t="shared" si="2"/>
        <v>10.95684</v>
      </c>
    </row>
    <row r="21" spans="1:22" ht="16.5" thickTop="1" thickBot="1" x14ac:dyDescent="0.3">
      <c r="A21" s="12">
        <v>44935</v>
      </c>
      <c r="B21" s="9">
        <v>67.2</v>
      </c>
      <c r="C21" s="9">
        <v>67.2</v>
      </c>
      <c r="D21" s="9">
        <v>150.19999999999999</v>
      </c>
      <c r="E21" s="10">
        <v>150.19999999999999</v>
      </c>
      <c r="G21" s="13">
        <v>16.8</v>
      </c>
      <c r="H21" s="13">
        <v>11.4</v>
      </c>
      <c r="I21" s="13">
        <v>36.799999999999997</v>
      </c>
      <c r="J21" s="14">
        <v>17.3</v>
      </c>
      <c r="K21" s="22">
        <v>50.400000000000006</v>
      </c>
      <c r="L21" s="23">
        <v>55.800000000000004</v>
      </c>
      <c r="M21" s="22">
        <v>113.39999999999999</v>
      </c>
      <c r="N21" s="23">
        <v>132.89999999999998</v>
      </c>
      <c r="O21" s="24">
        <f t="shared" ref="O21:R84" si="5">K21/5</f>
        <v>10.080000000000002</v>
      </c>
      <c r="P21" s="24">
        <f t="shared" si="5"/>
        <v>11.16</v>
      </c>
      <c r="Q21" s="24">
        <f t="shared" si="5"/>
        <v>22.68</v>
      </c>
      <c r="R21" s="24">
        <f t="shared" si="5"/>
        <v>26.579999999999995</v>
      </c>
      <c r="S21" s="26">
        <f t="shared" si="4"/>
        <v>8.6889600000000016</v>
      </c>
      <c r="T21" s="26">
        <f t="shared" si="1"/>
        <v>9.6199200000000005</v>
      </c>
      <c r="U21" s="26">
        <f t="shared" si="3"/>
        <v>8.9132399999999983</v>
      </c>
      <c r="V21" s="27">
        <f t="shared" si="2"/>
        <v>10.445939999999997</v>
      </c>
    </row>
    <row r="22" spans="1:22" ht="16.5" thickTop="1" thickBot="1" x14ac:dyDescent="0.3">
      <c r="A22" s="12">
        <v>44936</v>
      </c>
      <c r="B22" s="9">
        <v>69.05</v>
      </c>
      <c r="C22" s="9">
        <v>69.05</v>
      </c>
      <c r="D22" s="9">
        <v>150.69999999999999</v>
      </c>
      <c r="E22" s="10">
        <v>150.69999999999999</v>
      </c>
      <c r="G22" s="13">
        <v>18</v>
      </c>
      <c r="H22" s="13">
        <v>11</v>
      </c>
      <c r="I22" s="13">
        <v>34.5</v>
      </c>
      <c r="J22" s="14">
        <v>24.6</v>
      </c>
      <c r="K22" s="22">
        <v>51.05</v>
      </c>
      <c r="L22" s="23">
        <v>58.05</v>
      </c>
      <c r="M22" s="22">
        <v>116.19999999999999</v>
      </c>
      <c r="N22" s="23">
        <v>126.1</v>
      </c>
      <c r="O22" s="24">
        <f t="shared" si="5"/>
        <v>10.209999999999999</v>
      </c>
      <c r="P22" s="24">
        <f t="shared" si="5"/>
        <v>11.61</v>
      </c>
      <c r="Q22" s="24">
        <f t="shared" si="5"/>
        <v>23.24</v>
      </c>
      <c r="R22" s="24">
        <f t="shared" si="5"/>
        <v>25.22</v>
      </c>
      <c r="S22" s="26">
        <f t="shared" si="4"/>
        <v>8.8010199999999994</v>
      </c>
      <c r="T22" s="26">
        <f t="shared" si="1"/>
        <v>10.007819999999999</v>
      </c>
      <c r="U22" s="26">
        <f t="shared" si="3"/>
        <v>9.1333199999999977</v>
      </c>
      <c r="V22" s="27">
        <f t="shared" si="2"/>
        <v>9.9114599999999982</v>
      </c>
    </row>
    <row r="23" spans="1:22" ht="16.5" thickTop="1" thickBot="1" x14ac:dyDescent="0.3">
      <c r="A23" s="12">
        <v>44937</v>
      </c>
      <c r="B23" s="9">
        <v>67.2</v>
      </c>
      <c r="C23" s="9">
        <v>67.2</v>
      </c>
      <c r="D23" s="9">
        <v>150.69999999999999</v>
      </c>
      <c r="E23" s="10">
        <v>150.69999999999999</v>
      </c>
      <c r="G23" s="13">
        <v>16</v>
      </c>
      <c r="H23" s="13">
        <v>9.4</v>
      </c>
      <c r="I23" s="13">
        <v>30.9</v>
      </c>
      <c r="J23" s="14">
        <v>16.3</v>
      </c>
      <c r="K23" s="22">
        <v>51.2</v>
      </c>
      <c r="L23" s="23">
        <v>57.800000000000004</v>
      </c>
      <c r="M23" s="22">
        <v>119.79999999999998</v>
      </c>
      <c r="N23" s="23">
        <v>134.39999999999998</v>
      </c>
      <c r="O23" s="24">
        <f t="shared" si="5"/>
        <v>10.24</v>
      </c>
      <c r="P23" s="24">
        <f t="shared" si="5"/>
        <v>11.56</v>
      </c>
      <c r="Q23" s="24">
        <f t="shared" si="5"/>
        <v>23.959999999999997</v>
      </c>
      <c r="R23" s="24">
        <f t="shared" si="5"/>
        <v>26.879999999999995</v>
      </c>
      <c r="S23" s="26">
        <f t="shared" si="4"/>
        <v>8.8268800000000009</v>
      </c>
      <c r="T23" s="26">
        <f t="shared" si="1"/>
        <v>9.9647199999999998</v>
      </c>
      <c r="U23" s="26">
        <f t="shared" si="3"/>
        <v>9.4162799999999987</v>
      </c>
      <c r="V23" s="27">
        <f t="shared" si="2"/>
        <v>10.563839999999997</v>
      </c>
    </row>
    <row r="24" spans="1:22" ht="16.5" thickTop="1" thickBot="1" x14ac:dyDescent="0.3">
      <c r="A24" s="12">
        <v>44938</v>
      </c>
      <c r="B24" s="9">
        <v>67.25</v>
      </c>
      <c r="C24" s="9">
        <v>67.25</v>
      </c>
      <c r="D24" s="9">
        <v>151.25</v>
      </c>
      <c r="E24" s="10">
        <v>151.25</v>
      </c>
      <c r="G24" s="13">
        <v>14.7</v>
      </c>
      <c r="H24" s="13">
        <v>12.7</v>
      </c>
      <c r="I24" s="13">
        <v>45.4</v>
      </c>
      <c r="J24" s="14">
        <v>21.1</v>
      </c>
      <c r="K24" s="22">
        <v>52.55</v>
      </c>
      <c r="L24" s="23">
        <v>54.55</v>
      </c>
      <c r="M24" s="22">
        <v>105.85</v>
      </c>
      <c r="N24" s="23">
        <v>130.15</v>
      </c>
      <c r="O24" s="24">
        <f t="shared" si="5"/>
        <v>10.51</v>
      </c>
      <c r="P24" s="24">
        <f t="shared" si="5"/>
        <v>10.91</v>
      </c>
      <c r="Q24" s="24">
        <f t="shared" si="5"/>
        <v>21.169999999999998</v>
      </c>
      <c r="R24" s="24">
        <f t="shared" si="5"/>
        <v>26.03</v>
      </c>
      <c r="S24" s="26">
        <f t="shared" si="4"/>
        <v>9.0596199999999989</v>
      </c>
      <c r="T24" s="26">
        <f t="shared" si="1"/>
        <v>9.40442</v>
      </c>
      <c r="U24" s="26">
        <f t="shared" si="3"/>
        <v>8.3198099999999986</v>
      </c>
      <c r="V24" s="27">
        <f t="shared" si="2"/>
        <v>10.229789999999999</v>
      </c>
    </row>
    <row r="25" spans="1:22" ht="16.5" thickTop="1" thickBot="1" x14ac:dyDescent="0.3">
      <c r="A25" s="12">
        <v>44939</v>
      </c>
      <c r="B25" s="9">
        <v>67.3</v>
      </c>
      <c r="C25" s="9">
        <v>67.3</v>
      </c>
      <c r="D25" s="9">
        <v>151.05000000000001</v>
      </c>
      <c r="E25" s="10">
        <v>151.05000000000001</v>
      </c>
      <c r="G25" s="13">
        <v>12.8</v>
      </c>
      <c r="H25" s="13">
        <v>14.9</v>
      </c>
      <c r="I25" s="13">
        <f>33.7+32</f>
        <v>65.7</v>
      </c>
      <c r="J25" s="14">
        <v>57.6</v>
      </c>
      <c r="K25" s="22">
        <v>54.5</v>
      </c>
      <c r="L25" s="23">
        <v>52.4</v>
      </c>
      <c r="M25" s="22">
        <v>85.350000000000009</v>
      </c>
      <c r="N25" s="23">
        <v>93.450000000000017</v>
      </c>
      <c r="O25" s="24">
        <f t="shared" si="5"/>
        <v>10.9</v>
      </c>
      <c r="P25" s="24">
        <f t="shared" si="5"/>
        <v>10.48</v>
      </c>
      <c r="Q25" s="24">
        <f t="shared" si="5"/>
        <v>17.07</v>
      </c>
      <c r="R25" s="24">
        <f t="shared" si="5"/>
        <v>18.690000000000005</v>
      </c>
      <c r="S25" s="26">
        <f t="shared" si="4"/>
        <v>9.3957999999999995</v>
      </c>
      <c r="T25" s="26">
        <f t="shared" si="1"/>
        <v>9.0337600000000009</v>
      </c>
      <c r="U25" s="26">
        <f t="shared" si="3"/>
        <v>6.7085099999999995</v>
      </c>
      <c r="V25" s="27">
        <f t="shared" si="2"/>
        <v>7.3451700000000013</v>
      </c>
    </row>
    <row r="26" spans="1:22" ht="16.5" thickTop="1" thickBot="1" x14ac:dyDescent="0.3">
      <c r="A26" s="11">
        <v>44940</v>
      </c>
      <c r="B26" s="9">
        <v>67.2</v>
      </c>
      <c r="C26" s="9">
        <v>67.2</v>
      </c>
      <c r="D26" s="9">
        <v>150.94999999999999</v>
      </c>
      <c r="E26" s="10">
        <v>150.94999999999999</v>
      </c>
      <c r="G26" s="13">
        <v>12.8</v>
      </c>
      <c r="H26" s="13">
        <v>9.4</v>
      </c>
      <c r="I26" s="13">
        <v>30.8</v>
      </c>
      <c r="J26" s="14">
        <v>31.6</v>
      </c>
      <c r="K26" s="22">
        <v>54.400000000000006</v>
      </c>
      <c r="L26" s="23">
        <v>57.800000000000004</v>
      </c>
      <c r="M26" s="22">
        <v>120.14999999999999</v>
      </c>
      <c r="N26" s="23">
        <v>119.35</v>
      </c>
      <c r="O26" s="24">
        <f t="shared" si="5"/>
        <v>10.88</v>
      </c>
      <c r="P26" s="24">
        <f t="shared" si="5"/>
        <v>11.56</v>
      </c>
      <c r="Q26" s="24">
        <f t="shared" si="5"/>
        <v>24.029999999999998</v>
      </c>
      <c r="R26" s="24">
        <f t="shared" si="5"/>
        <v>23.869999999999997</v>
      </c>
      <c r="S26" s="26">
        <f t="shared" si="4"/>
        <v>9.3785600000000002</v>
      </c>
      <c r="T26" s="26">
        <f t="shared" si="1"/>
        <v>9.9647199999999998</v>
      </c>
      <c r="U26" s="26">
        <f t="shared" si="3"/>
        <v>9.4437899999999981</v>
      </c>
      <c r="V26" s="27">
        <f t="shared" si="2"/>
        <v>9.3809099999999983</v>
      </c>
    </row>
    <row r="27" spans="1:22" ht="16.5" thickTop="1" thickBot="1" x14ac:dyDescent="0.3">
      <c r="A27" s="11">
        <v>44941</v>
      </c>
      <c r="B27" s="9">
        <v>67.399999999999991</v>
      </c>
      <c r="C27" s="9">
        <v>67.399999999999991</v>
      </c>
      <c r="D27" s="9">
        <v>150.30000000000001</v>
      </c>
      <c r="E27" s="10">
        <v>150.30000000000001</v>
      </c>
      <c r="G27" s="13">
        <v>11.6</v>
      </c>
      <c r="H27" s="13">
        <v>12.8</v>
      </c>
      <c r="I27" s="13">
        <v>47.5</v>
      </c>
      <c r="J27" s="14">
        <v>46.8</v>
      </c>
      <c r="K27" s="22">
        <v>55.79999999999999</v>
      </c>
      <c r="L27" s="23">
        <v>54.599999999999994</v>
      </c>
      <c r="M27" s="22">
        <v>102.80000000000001</v>
      </c>
      <c r="N27" s="23">
        <v>103.50000000000001</v>
      </c>
      <c r="O27" s="24">
        <f t="shared" si="5"/>
        <v>11.159999999999998</v>
      </c>
      <c r="P27" s="24">
        <f t="shared" si="5"/>
        <v>10.919999999999998</v>
      </c>
      <c r="Q27" s="24">
        <f t="shared" si="5"/>
        <v>20.560000000000002</v>
      </c>
      <c r="R27" s="24">
        <f t="shared" si="5"/>
        <v>20.700000000000003</v>
      </c>
      <c r="S27" s="26">
        <f t="shared" si="4"/>
        <v>9.6199199999999987</v>
      </c>
      <c r="T27" s="26">
        <f t="shared" si="1"/>
        <v>9.4130399999999987</v>
      </c>
      <c r="U27" s="26">
        <f t="shared" si="3"/>
        <v>8.0800800000000006</v>
      </c>
      <c r="V27" s="27">
        <f t="shared" si="2"/>
        <v>8.1350999999999996</v>
      </c>
    </row>
    <row r="28" spans="1:22" ht="16.5" thickTop="1" thickBot="1" x14ac:dyDescent="0.3">
      <c r="A28" s="11">
        <v>44942</v>
      </c>
      <c r="B28" s="9">
        <v>67.399999999999991</v>
      </c>
      <c r="C28" s="9">
        <v>67.399999999999991</v>
      </c>
      <c r="D28" s="9">
        <v>150</v>
      </c>
      <c r="E28" s="10">
        <v>150</v>
      </c>
      <c r="G28" s="13">
        <v>16.399999999999999</v>
      </c>
      <c r="H28" s="13">
        <v>13.2</v>
      </c>
      <c r="I28" s="13">
        <v>53.2</v>
      </c>
      <c r="J28" s="14">
        <v>46.4</v>
      </c>
      <c r="K28" s="22">
        <v>50.999999999999993</v>
      </c>
      <c r="L28" s="23">
        <v>54.199999999999989</v>
      </c>
      <c r="M28" s="22">
        <v>96.8</v>
      </c>
      <c r="N28" s="23">
        <v>103.6</v>
      </c>
      <c r="O28" s="24">
        <f t="shared" si="5"/>
        <v>10.199999999999999</v>
      </c>
      <c r="P28" s="24">
        <f t="shared" si="5"/>
        <v>10.839999999999998</v>
      </c>
      <c r="Q28" s="24">
        <f t="shared" si="5"/>
        <v>19.36</v>
      </c>
      <c r="R28" s="24">
        <f t="shared" si="5"/>
        <v>20.72</v>
      </c>
      <c r="S28" s="26">
        <f t="shared" si="4"/>
        <v>8.7923999999999989</v>
      </c>
      <c r="T28" s="26">
        <f t="shared" si="1"/>
        <v>9.3440799999999982</v>
      </c>
      <c r="U28" s="26">
        <f t="shared" si="3"/>
        <v>7.6084799999999992</v>
      </c>
      <c r="V28" s="27">
        <f t="shared" si="2"/>
        <v>8.1429599999999986</v>
      </c>
    </row>
    <row r="29" spans="1:22" ht="16.5" thickTop="1" thickBot="1" x14ac:dyDescent="0.3">
      <c r="A29" s="11">
        <v>44943</v>
      </c>
      <c r="B29" s="9">
        <v>67.399999999999991</v>
      </c>
      <c r="C29" s="9">
        <v>67.399999999999991</v>
      </c>
      <c r="D29" s="9">
        <v>150.19999999999999</v>
      </c>
      <c r="E29" s="10">
        <v>150.19999999999999</v>
      </c>
      <c r="G29" s="13">
        <v>15.4</v>
      </c>
      <c r="H29" s="13">
        <v>14.7</v>
      </c>
      <c r="I29" s="13">
        <v>46.1</v>
      </c>
      <c r="J29" s="14">
        <v>40</v>
      </c>
      <c r="K29" s="22">
        <v>51.999999999999993</v>
      </c>
      <c r="L29" s="23">
        <v>52.699999999999989</v>
      </c>
      <c r="M29" s="22">
        <v>104.1</v>
      </c>
      <c r="N29" s="23">
        <v>110.19999999999999</v>
      </c>
      <c r="O29" s="24">
        <f t="shared" si="5"/>
        <v>10.399999999999999</v>
      </c>
      <c r="P29" s="24">
        <f t="shared" si="5"/>
        <v>10.539999999999997</v>
      </c>
      <c r="Q29" s="24">
        <f t="shared" si="5"/>
        <v>20.82</v>
      </c>
      <c r="R29" s="24">
        <f t="shared" si="5"/>
        <v>22.04</v>
      </c>
      <c r="S29" s="26">
        <f t="shared" si="4"/>
        <v>8.9647999999999985</v>
      </c>
      <c r="T29" s="26">
        <f t="shared" si="1"/>
        <v>9.0854799999999969</v>
      </c>
      <c r="U29" s="26">
        <f t="shared" si="3"/>
        <v>8.1822599999999994</v>
      </c>
      <c r="V29" s="27">
        <f t="shared" si="2"/>
        <v>8.661719999999999</v>
      </c>
    </row>
    <row r="30" spans="1:22" ht="16.5" thickTop="1" thickBot="1" x14ac:dyDescent="0.3">
      <c r="A30" s="11">
        <v>44944</v>
      </c>
      <c r="B30" s="9">
        <v>67.399999999999991</v>
      </c>
      <c r="C30" s="9">
        <v>67.399999999999991</v>
      </c>
      <c r="D30" s="9">
        <v>150.19999999999999</v>
      </c>
      <c r="E30" s="10">
        <v>150.19999999999999</v>
      </c>
      <c r="G30" s="13">
        <v>9.6</v>
      </c>
      <c r="H30" s="13">
        <v>12.2</v>
      </c>
      <c r="I30" s="13">
        <v>58.1</v>
      </c>
      <c r="J30" s="14">
        <v>21.1</v>
      </c>
      <c r="K30" s="22">
        <v>57.79999999999999</v>
      </c>
      <c r="L30" s="23">
        <v>55.199999999999989</v>
      </c>
      <c r="M30" s="22">
        <v>92.1</v>
      </c>
      <c r="N30" s="23">
        <v>129.1</v>
      </c>
      <c r="O30" s="24">
        <f t="shared" si="5"/>
        <v>11.559999999999999</v>
      </c>
      <c r="P30" s="24">
        <f t="shared" si="5"/>
        <v>11.039999999999997</v>
      </c>
      <c r="Q30" s="24">
        <f t="shared" si="5"/>
        <v>18.419999999999998</v>
      </c>
      <c r="R30" s="24">
        <f t="shared" si="5"/>
        <v>25.82</v>
      </c>
      <c r="S30" s="26">
        <f t="shared" si="4"/>
        <v>9.964719999999998</v>
      </c>
      <c r="T30" s="26">
        <f t="shared" si="1"/>
        <v>9.5164799999999978</v>
      </c>
      <c r="U30" s="26">
        <f t="shared" si="3"/>
        <v>7.2390599999999985</v>
      </c>
      <c r="V30" s="27">
        <f t="shared" si="2"/>
        <v>10.147259999999999</v>
      </c>
    </row>
    <row r="31" spans="1:22" ht="16.5" thickTop="1" thickBot="1" x14ac:dyDescent="0.3">
      <c r="A31" s="11">
        <v>44945</v>
      </c>
      <c r="B31" s="9">
        <v>67.399999999999991</v>
      </c>
      <c r="C31" s="9">
        <v>67.399999999999991</v>
      </c>
      <c r="D31" s="9">
        <v>150.30000000000001</v>
      </c>
      <c r="E31" s="10">
        <v>150.30000000000001</v>
      </c>
      <c r="G31" s="13">
        <v>10.4</v>
      </c>
      <c r="H31" s="13">
        <v>13.8</v>
      </c>
      <c r="I31" s="13">
        <v>52.4</v>
      </c>
      <c r="J31" s="14">
        <v>38.4</v>
      </c>
      <c r="K31" s="22">
        <v>56.999999999999993</v>
      </c>
      <c r="L31" s="23">
        <v>53.599999999999994</v>
      </c>
      <c r="M31" s="22">
        <v>97.9</v>
      </c>
      <c r="N31" s="23">
        <v>111.9</v>
      </c>
      <c r="O31" s="24">
        <f t="shared" si="5"/>
        <v>11.399999999999999</v>
      </c>
      <c r="P31" s="24">
        <f t="shared" si="5"/>
        <v>10.719999999999999</v>
      </c>
      <c r="Q31" s="24">
        <f t="shared" si="5"/>
        <v>19.580000000000002</v>
      </c>
      <c r="R31" s="24">
        <f t="shared" si="5"/>
        <v>22.380000000000003</v>
      </c>
      <c r="S31" s="26">
        <f t="shared" si="4"/>
        <v>9.8267999999999986</v>
      </c>
      <c r="T31" s="26">
        <f t="shared" si="1"/>
        <v>9.2406399999999991</v>
      </c>
      <c r="U31" s="26">
        <f t="shared" si="3"/>
        <v>7.6949399999999999</v>
      </c>
      <c r="V31" s="27">
        <f t="shared" si="2"/>
        <v>8.7953399999999995</v>
      </c>
    </row>
    <row r="32" spans="1:22" ht="16.5" thickTop="1" thickBot="1" x14ac:dyDescent="0.3">
      <c r="A32" s="11">
        <v>44946</v>
      </c>
      <c r="B32" s="9">
        <v>74.180000000000007</v>
      </c>
      <c r="C32" s="9">
        <v>74.180000000000007</v>
      </c>
      <c r="D32" s="9">
        <v>150.30000000000001</v>
      </c>
      <c r="E32" s="10">
        <v>150.30000000000001</v>
      </c>
      <c r="G32" s="13">
        <v>16.600000000000001</v>
      </c>
      <c r="H32" s="13">
        <v>18</v>
      </c>
      <c r="I32" s="13">
        <v>51.2</v>
      </c>
      <c r="J32" s="14">
        <v>36.200000000000003</v>
      </c>
      <c r="K32" s="22">
        <v>57.580000000000005</v>
      </c>
      <c r="L32" s="23">
        <v>56.180000000000007</v>
      </c>
      <c r="M32" s="22">
        <v>99.100000000000009</v>
      </c>
      <c r="N32" s="23">
        <v>114.10000000000001</v>
      </c>
      <c r="O32" s="24">
        <f t="shared" si="5"/>
        <v>11.516000000000002</v>
      </c>
      <c r="P32" s="24">
        <f t="shared" si="5"/>
        <v>11.236000000000001</v>
      </c>
      <c r="Q32" s="24">
        <f t="shared" si="5"/>
        <v>19.82</v>
      </c>
      <c r="R32" s="24">
        <f t="shared" si="5"/>
        <v>22.82</v>
      </c>
      <c r="S32" s="26">
        <f t="shared" si="4"/>
        <v>9.9267920000000007</v>
      </c>
      <c r="T32" s="26">
        <f t="shared" si="1"/>
        <v>9.6854320000000005</v>
      </c>
      <c r="U32" s="26">
        <f t="shared" si="3"/>
        <v>7.7892599999999996</v>
      </c>
      <c r="V32" s="27">
        <f t="shared" si="2"/>
        <v>8.968259999999999</v>
      </c>
    </row>
    <row r="33" spans="1:22" ht="16.5" thickTop="1" thickBot="1" x14ac:dyDescent="0.3">
      <c r="A33" s="11">
        <v>44947</v>
      </c>
      <c r="B33" s="9">
        <v>74.180000000000007</v>
      </c>
      <c r="C33" s="9">
        <v>74.180000000000007</v>
      </c>
      <c r="D33" s="9">
        <v>150.75</v>
      </c>
      <c r="E33" s="10">
        <v>150.75</v>
      </c>
      <c r="G33" s="13">
        <v>19.899999999999999</v>
      </c>
      <c r="H33" s="13">
        <v>23.6</v>
      </c>
      <c r="I33" s="13">
        <v>51.8</v>
      </c>
      <c r="J33" s="14">
        <v>23</v>
      </c>
      <c r="K33" s="22">
        <v>54.280000000000008</v>
      </c>
      <c r="L33" s="23">
        <v>50.580000000000005</v>
      </c>
      <c r="M33" s="22">
        <v>98.95</v>
      </c>
      <c r="N33" s="23">
        <v>127.75</v>
      </c>
      <c r="O33" s="24">
        <f t="shared" si="5"/>
        <v>10.856000000000002</v>
      </c>
      <c r="P33" s="24">
        <f t="shared" si="5"/>
        <v>10.116000000000001</v>
      </c>
      <c r="Q33" s="24">
        <f t="shared" si="5"/>
        <v>19.79</v>
      </c>
      <c r="R33" s="24">
        <f t="shared" si="5"/>
        <v>25.55</v>
      </c>
      <c r="S33" s="26">
        <f t="shared" si="4"/>
        <v>9.3578720000000004</v>
      </c>
      <c r="T33" s="26">
        <f t="shared" si="1"/>
        <v>8.7199920000000013</v>
      </c>
      <c r="U33" s="26">
        <f t="shared" si="3"/>
        <v>7.7774699999999992</v>
      </c>
      <c r="V33" s="27">
        <f t="shared" si="2"/>
        <v>10.04115</v>
      </c>
    </row>
    <row r="34" spans="1:22" ht="16.5" thickTop="1" thickBot="1" x14ac:dyDescent="0.3">
      <c r="A34" s="11">
        <v>44948</v>
      </c>
      <c r="B34" s="9">
        <v>74.790000000000006</v>
      </c>
      <c r="C34" s="9">
        <v>74.790000000000006</v>
      </c>
      <c r="D34" s="9">
        <v>150.19999999999999</v>
      </c>
      <c r="E34" s="10">
        <v>150.19999999999999</v>
      </c>
      <c r="G34" s="13">
        <v>8.1</v>
      </c>
      <c r="H34" s="13">
        <v>7.8</v>
      </c>
      <c r="I34" s="13">
        <v>46</v>
      </c>
      <c r="J34" s="14">
        <v>18.3</v>
      </c>
      <c r="K34" s="22">
        <v>66.690000000000012</v>
      </c>
      <c r="L34" s="23">
        <v>66.990000000000009</v>
      </c>
      <c r="M34" s="22">
        <v>104.19999999999999</v>
      </c>
      <c r="N34" s="23">
        <v>131.89999999999998</v>
      </c>
      <c r="O34" s="24">
        <f t="shared" si="5"/>
        <v>13.338000000000003</v>
      </c>
      <c r="P34" s="24">
        <f t="shared" si="5"/>
        <v>13.398000000000001</v>
      </c>
      <c r="Q34" s="24">
        <f t="shared" si="5"/>
        <v>20.839999999999996</v>
      </c>
      <c r="R34" s="24">
        <f t="shared" si="5"/>
        <v>26.379999999999995</v>
      </c>
      <c r="S34" s="26">
        <f t="shared" si="4"/>
        <v>11.497356000000002</v>
      </c>
      <c r="T34" s="26">
        <f t="shared" si="1"/>
        <v>11.549076000000001</v>
      </c>
      <c r="U34" s="26">
        <f t="shared" si="3"/>
        <v>8.1901199999999985</v>
      </c>
      <c r="V34" s="27">
        <f t="shared" si="2"/>
        <v>10.367339999999997</v>
      </c>
    </row>
    <row r="35" spans="1:22" ht="16.5" thickTop="1" thickBot="1" x14ac:dyDescent="0.3">
      <c r="A35" s="11">
        <v>44949</v>
      </c>
      <c r="B35" s="9">
        <v>74.75</v>
      </c>
      <c r="C35" s="9">
        <v>74.75</v>
      </c>
      <c r="D35" s="9">
        <v>150.19999999999999</v>
      </c>
      <c r="E35" s="10">
        <v>150.19999999999999</v>
      </c>
      <c r="G35" s="13">
        <v>21.7</v>
      </c>
      <c r="H35" s="13">
        <v>15</v>
      </c>
      <c r="I35" s="13">
        <v>72.400000000000006</v>
      </c>
      <c r="J35" s="14">
        <v>64.5</v>
      </c>
      <c r="K35" s="22">
        <v>53.05</v>
      </c>
      <c r="L35" s="23">
        <v>59.75</v>
      </c>
      <c r="M35" s="22">
        <v>77.799999999999983</v>
      </c>
      <c r="N35" s="23">
        <v>85.699999999999989</v>
      </c>
      <c r="O35" s="24">
        <f t="shared" si="5"/>
        <v>10.61</v>
      </c>
      <c r="P35" s="24">
        <f t="shared" si="5"/>
        <v>11.95</v>
      </c>
      <c r="Q35" s="24">
        <f t="shared" si="5"/>
        <v>15.559999999999997</v>
      </c>
      <c r="R35" s="24">
        <f t="shared" si="5"/>
        <v>17.139999999999997</v>
      </c>
      <c r="S35" s="26">
        <f t="shared" si="4"/>
        <v>9.1458199999999987</v>
      </c>
      <c r="T35" s="26">
        <f t="shared" si="1"/>
        <v>10.300899999999999</v>
      </c>
      <c r="U35" s="26">
        <f t="shared" si="3"/>
        <v>6.1150799999999981</v>
      </c>
      <c r="V35" s="27">
        <f t="shared" si="2"/>
        <v>6.7360199999999981</v>
      </c>
    </row>
    <row r="36" spans="1:22" ht="16.5" thickTop="1" thickBot="1" x14ac:dyDescent="0.3">
      <c r="A36" s="11">
        <v>44950</v>
      </c>
      <c r="B36" s="9">
        <v>74.75</v>
      </c>
      <c r="C36" s="9">
        <v>74.75</v>
      </c>
      <c r="D36" s="9">
        <v>150.19999999999999</v>
      </c>
      <c r="E36" s="10">
        <v>150.19999999999999</v>
      </c>
      <c r="G36" s="13">
        <v>22.1</v>
      </c>
      <c r="H36" s="13">
        <v>16</v>
      </c>
      <c r="I36" s="13">
        <v>54.5</v>
      </c>
      <c r="J36" s="14">
        <v>33.799999999999997</v>
      </c>
      <c r="K36" s="22">
        <v>52.65</v>
      </c>
      <c r="L36" s="23">
        <v>58.75</v>
      </c>
      <c r="M36" s="22">
        <v>95.699999999999989</v>
      </c>
      <c r="N36" s="23">
        <v>116.39999999999999</v>
      </c>
      <c r="O36" s="24">
        <f t="shared" si="5"/>
        <v>10.53</v>
      </c>
      <c r="P36" s="24">
        <f t="shared" si="5"/>
        <v>11.75</v>
      </c>
      <c r="Q36" s="24">
        <f t="shared" si="5"/>
        <v>19.139999999999997</v>
      </c>
      <c r="R36" s="24">
        <f t="shared" si="5"/>
        <v>23.279999999999998</v>
      </c>
      <c r="S36" s="26">
        <f t="shared" si="4"/>
        <v>9.0768599999999999</v>
      </c>
      <c r="T36" s="26">
        <f t="shared" si="1"/>
        <v>10.128500000000001</v>
      </c>
      <c r="U36" s="26">
        <f t="shared" si="3"/>
        <v>7.5220199999999977</v>
      </c>
      <c r="V36" s="27">
        <f t="shared" si="2"/>
        <v>9.1490399999999976</v>
      </c>
    </row>
    <row r="37" spans="1:22" ht="16.5" thickTop="1" thickBot="1" x14ac:dyDescent="0.3">
      <c r="A37" s="11">
        <v>44951</v>
      </c>
      <c r="B37" s="9">
        <v>74.75</v>
      </c>
      <c r="C37" s="9">
        <v>74.75</v>
      </c>
      <c r="D37" s="9">
        <v>150.19999999999999</v>
      </c>
      <c r="E37" s="10">
        <v>150.19999999999999</v>
      </c>
      <c r="G37" s="13">
        <v>12.8</v>
      </c>
      <c r="H37" s="13">
        <v>4.7</v>
      </c>
      <c r="I37" s="13">
        <v>27.4</v>
      </c>
      <c r="J37" s="14">
        <v>40</v>
      </c>
      <c r="K37" s="22">
        <v>61.95</v>
      </c>
      <c r="L37" s="23">
        <v>70.05</v>
      </c>
      <c r="M37" s="22">
        <v>122.79999999999998</v>
      </c>
      <c r="N37" s="23">
        <v>110.19999999999999</v>
      </c>
      <c r="O37" s="24">
        <f t="shared" si="5"/>
        <v>12.39</v>
      </c>
      <c r="P37" s="24">
        <f t="shared" si="5"/>
        <v>14.01</v>
      </c>
      <c r="Q37" s="24">
        <f t="shared" si="5"/>
        <v>24.559999999999995</v>
      </c>
      <c r="R37" s="24">
        <f t="shared" si="5"/>
        <v>22.04</v>
      </c>
      <c r="S37" s="26">
        <f t="shared" si="4"/>
        <v>10.68018</v>
      </c>
      <c r="T37" s="26">
        <f t="shared" si="1"/>
        <v>12.07662</v>
      </c>
      <c r="U37" s="26">
        <f t="shared" si="3"/>
        <v>9.652079999999998</v>
      </c>
      <c r="V37" s="27">
        <f t="shared" si="2"/>
        <v>8.661719999999999</v>
      </c>
    </row>
    <row r="38" spans="1:22" ht="16.5" thickTop="1" thickBot="1" x14ac:dyDescent="0.3">
      <c r="A38" s="11">
        <v>44952</v>
      </c>
      <c r="B38" s="9">
        <v>74.75</v>
      </c>
      <c r="C38" s="9">
        <v>74.75</v>
      </c>
      <c r="D38" s="9">
        <v>150.19999999999999</v>
      </c>
      <c r="E38" s="10">
        <v>150.19999999999999</v>
      </c>
      <c r="G38" s="13">
        <v>19.5</v>
      </c>
      <c r="H38" s="13">
        <v>15.1</v>
      </c>
      <c r="I38" s="13">
        <v>45.8</v>
      </c>
      <c r="J38" s="14">
        <v>44.2</v>
      </c>
      <c r="K38" s="22">
        <v>55.25</v>
      </c>
      <c r="L38" s="23">
        <v>59.65</v>
      </c>
      <c r="M38" s="22">
        <v>104.39999999999999</v>
      </c>
      <c r="N38" s="23">
        <v>105.99999999999999</v>
      </c>
      <c r="O38" s="24">
        <f t="shared" si="5"/>
        <v>11.05</v>
      </c>
      <c r="P38" s="24">
        <f t="shared" si="5"/>
        <v>11.93</v>
      </c>
      <c r="Q38" s="24">
        <f t="shared" si="5"/>
        <v>20.88</v>
      </c>
      <c r="R38" s="24">
        <f t="shared" si="5"/>
        <v>21.199999999999996</v>
      </c>
      <c r="S38" s="26">
        <f t="shared" si="4"/>
        <v>9.5251000000000001</v>
      </c>
      <c r="T38" s="26">
        <f t="shared" si="1"/>
        <v>10.283659999999999</v>
      </c>
      <c r="U38" s="26">
        <f t="shared" si="3"/>
        <v>8.2058399999999985</v>
      </c>
      <c r="V38" s="27">
        <f t="shared" si="2"/>
        <v>8.3315999999999981</v>
      </c>
    </row>
    <row r="39" spans="1:22" ht="16.5" thickTop="1" thickBot="1" x14ac:dyDescent="0.3">
      <c r="A39" s="11">
        <v>44953</v>
      </c>
      <c r="B39" s="9">
        <v>74.75</v>
      </c>
      <c r="C39" s="9">
        <v>74.75</v>
      </c>
      <c r="D39" s="9">
        <v>150.19999999999999</v>
      </c>
      <c r="E39" s="10">
        <v>150.19999999999999</v>
      </c>
      <c r="G39" s="13">
        <v>12.2</v>
      </c>
      <c r="H39" s="13">
        <v>9.6</v>
      </c>
      <c r="I39" s="13">
        <v>38.1</v>
      </c>
      <c r="J39" s="14">
        <v>20.9</v>
      </c>
      <c r="K39" s="22">
        <v>62.55</v>
      </c>
      <c r="L39" s="23">
        <v>65.150000000000006</v>
      </c>
      <c r="M39" s="22">
        <v>112.1</v>
      </c>
      <c r="N39" s="23">
        <v>129.29999999999998</v>
      </c>
      <c r="O39" s="24">
        <f t="shared" si="5"/>
        <v>12.51</v>
      </c>
      <c r="P39" s="24">
        <f t="shared" si="5"/>
        <v>13.030000000000001</v>
      </c>
      <c r="Q39" s="24">
        <f t="shared" si="5"/>
        <v>22.419999999999998</v>
      </c>
      <c r="R39" s="24">
        <f t="shared" si="5"/>
        <v>25.859999999999996</v>
      </c>
      <c r="S39" s="26">
        <f t="shared" si="4"/>
        <v>10.783619999999999</v>
      </c>
      <c r="T39" s="26">
        <f t="shared" si="1"/>
        <v>11.231860000000001</v>
      </c>
      <c r="U39" s="26">
        <f t="shared" si="3"/>
        <v>8.8110599999999977</v>
      </c>
      <c r="V39" s="27">
        <f t="shared" si="2"/>
        <v>10.162979999999997</v>
      </c>
    </row>
    <row r="40" spans="1:22" ht="16.5" thickTop="1" thickBot="1" x14ac:dyDescent="0.3">
      <c r="A40" s="11">
        <v>44954</v>
      </c>
      <c r="B40" s="9">
        <v>74.8</v>
      </c>
      <c r="C40" s="9">
        <v>74.8</v>
      </c>
      <c r="D40" s="9">
        <v>135.19999999999999</v>
      </c>
      <c r="E40" s="10">
        <v>135.19999999999999</v>
      </c>
      <c r="G40" s="13">
        <v>18.399999999999999</v>
      </c>
      <c r="H40" s="13">
        <v>11.8</v>
      </c>
      <c r="I40" s="13">
        <v>25.2</v>
      </c>
      <c r="J40" s="14">
        <v>16.8</v>
      </c>
      <c r="K40" s="22">
        <v>56.4</v>
      </c>
      <c r="L40" s="23">
        <v>63</v>
      </c>
      <c r="M40" s="22">
        <v>109.99999999999999</v>
      </c>
      <c r="N40" s="23">
        <v>118.39999999999999</v>
      </c>
      <c r="O40" s="24">
        <f t="shared" si="5"/>
        <v>11.28</v>
      </c>
      <c r="P40" s="24">
        <f t="shared" si="5"/>
        <v>12.6</v>
      </c>
      <c r="Q40" s="24">
        <f t="shared" si="5"/>
        <v>21.999999999999996</v>
      </c>
      <c r="R40" s="24">
        <f t="shared" si="5"/>
        <v>23.68</v>
      </c>
      <c r="S40" s="26">
        <f t="shared" si="4"/>
        <v>9.7233599999999996</v>
      </c>
      <c r="T40" s="26">
        <f t="shared" si="1"/>
        <v>10.8612</v>
      </c>
      <c r="U40" s="26">
        <f t="shared" si="3"/>
        <v>8.6459999999999972</v>
      </c>
      <c r="V40" s="27">
        <f t="shared" si="2"/>
        <v>9.306239999999999</v>
      </c>
    </row>
    <row r="41" spans="1:22" ht="16.5" thickTop="1" thickBot="1" x14ac:dyDescent="0.3">
      <c r="A41" s="11">
        <v>44955</v>
      </c>
      <c r="B41" s="9">
        <v>74.8</v>
      </c>
      <c r="C41" s="9">
        <v>74.8</v>
      </c>
      <c r="D41" s="9">
        <v>150.25</v>
      </c>
      <c r="E41" s="10">
        <v>150.25</v>
      </c>
      <c r="G41" s="13">
        <v>24.2</v>
      </c>
      <c r="H41" s="13">
        <v>10</v>
      </c>
      <c r="I41" s="13">
        <v>28.8</v>
      </c>
      <c r="J41" s="14">
        <v>30.6</v>
      </c>
      <c r="K41" s="22">
        <v>50.599999999999994</v>
      </c>
      <c r="L41" s="23">
        <v>64.8</v>
      </c>
      <c r="M41" s="22">
        <v>121.45</v>
      </c>
      <c r="N41" s="23">
        <v>119.65</v>
      </c>
      <c r="O41" s="24">
        <f t="shared" si="5"/>
        <v>10.119999999999999</v>
      </c>
      <c r="P41" s="24">
        <f t="shared" si="5"/>
        <v>12.959999999999999</v>
      </c>
      <c r="Q41" s="24">
        <f t="shared" si="5"/>
        <v>24.29</v>
      </c>
      <c r="R41" s="24">
        <f t="shared" si="5"/>
        <v>23.93</v>
      </c>
      <c r="S41" s="26">
        <f t="shared" si="4"/>
        <v>8.7234400000000001</v>
      </c>
      <c r="T41" s="26">
        <f t="shared" si="1"/>
        <v>11.171519999999999</v>
      </c>
      <c r="U41" s="26">
        <f t="shared" si="3"/>
        <v>9.5459699999999987</v>
      </c>
      <c r="V41" s="27">
        <f t="shared" si="2"/>
        <v>9.4044899999999991</v>
      </c>
    </row>
    <row r="42" spans="1:22" ht="16.5" thickTop="1" thickBot="1" x14ac:dyDescent="0.3">
      <c r="A42" s="11">
        <v>44956</v>
      </c>
      <c r="B42" s="9">
        <v>74.2</v>
      </c>
      <c r="C42" s="9">
        <v>74.2</v>
      </c>
      <c r="D42" s="9">
        <v>150.30000000000001</v>
      </c>
      <c r="E42" s="10">
        <v>150.30000000000001</v>
      </c>
      <c r="G42" s="13">
        <v>14.6</v>
      </c>
      <c r="H42" s="13">
        <v>11.8</v>
      </c>
      <c r="I42" s="13">
        <v>43.9</v>
      </c>
      <c r="J42" s="14">
        <v>21.7</v>
      </c>
      <c r="K42" s="22">
        <v>59.6</v>
      </c>
      <c r="L42" s="23">
        <v>62.400000000000006</v>
      </c>
      <c r="M42" s="22">
        <v>106.4</v>
      </c>
      <c r="N42" s="23">
        <v>128.60000000000002</v>
      </c>
      <c r="O42" s="24">
        <f t="shared" si="5"/>
        <v>11.92</v>
      </c>
      <c r="P42" s="24">
        <f t="shared" si="5"/>
        <v>12.48</v>
      </c>
      <c r="Q42" s="24">
        <f t="shared" si="5"/>
        <v>21.28</v>
      </c>
      <c r="R42" s="24">
        <f t="shared" si="5"/>
        <v>25.720000000000006</v>
      </c>
      <c r="S42" s="26">
        <f t="shared" si="4"/>
        <v>10.275040000000001</v>
      </c>
      <c r="T42" s="26">
        <f t="shared" si="1"/>
        <v>10.757760000000001</v>
      </c>
      <c r="U42" s="26">
        <f t="shared" si="3"/>
        <v>8.3630399999999998</v>
      </c>
      <c r="V42" s="27">
        <f t="shared" si="2"/>
        <v>10.107960000000002</v>
      </c>
    </row>
    <row r="43" spans="1:22" ht="16.5" thickTop="1" thickBot="1" x14ac:dyDescent="0.3">
      <c r="A43" s="11">
        <v>44957</v>
      </c>
      <c r="B43" s="9">
        <v>74.2</v>
      </c>
      <c r="C43" s="9">
        <v>74.2</v>
      </c>
      <c r="D43" s="9">
        <v>150.30000000000001</v>
      </c>
      <c r="E43" s="10">
        <v>150.30000000000001</v>
      </c>
      <c r="G43" s="13">
        <v>19.7</v>
      </c>
      <c r="H43" s="13">
        <v>16.899999999999999</v>
      </c>
      <c r="I43" s="13">
        <v>38.9</v>
      </c>
      <c r="J43" s="14">
        <v>42.1</v>
      </c>
      <c r="K43" s="22">
        <v>54.5</v>
      </c>
      <c r="L43" s="23">
        <v>57.300000000000004</v>
      </c>
      <c r="M43" s="22">
        <v>111.4</v>
      </c>
      <c r="N43" s="23">
        <v>108.20000000000002</v>
      </c>
      <c r="O43" s="24">
        <f t="shared" si="5"/>
        <v>10.9</v>
      </c>
      <c r="P43" s="24">
        <f t="shared" si="5"/>
        <v>11.46</v>
      </c>
      <c r="Q43" s="24">
        <f t="shared" si="5"/>
        <v>22.28</v>
      </c>
      <c r="R43" s="24">
        <f t="shared" si="5"/>
        <v>21.640000000000004</v>
      </c>
      <c r="S43" s="26">
        <f t="shared" si="4"/>
        <v>9.3957999999999995</v>
      </c>
      <c r="T43" s="26">
        <f t="shared" si="1"/>
        <v>9.87852</v>
      </c>
      <c r="U43" s="26">
        <f t="shared" si="3"/>
        <v>8.7560399999999987</v>
      </c>
      <c r="V43" s="27">
        <f t="shared" si="2"/>
        <v>8.5045200000000012</v>
      </c>
    </row>
    <row r="44" spans="1:22" ht="16.5" thickTop="1" thickBot="1" x14ac:dyDescent="0.3">
      <c r="A44" s="11">
        <v>44958</v>
      </c>
      <c r="B44" s="9">
        <v>74.2</v>
      </c>
      <c r="C44" s="9">
        <v>74.2</v>
      </c>
      <c r="D44" s="9">
        <v>150.30000000000001</v>
      </c>
      <c r="E44" s="10">
        <v>150.30000000000001</v>
      </c>
      <c r="G44" s="13">
        <v>21.9</v>
      </c>
      <c r="H44" s="13">
        <v>17.100000000000001</v>
      </c>
      <c r="I44" s="13">
        <v>74.5</v>
      </c>
      <c r="J44" s="14">
        <v>78.900000000000006</v>
      </c>
      <c r="K44" s="22">
        <v>52.300000000000004</v>
      </c>
      <c r="L44" s="23">
        <v>57.1</v>
      </c>
      <c r="M44" s="22">
        <v>75.800000000000011</v>
      </c>
      <c r="N44" s="23">
        <v>71.400000000000006</v>
      </c>
      <c r="O44" s="24">
        <f t="shared" si="5"/>
        <v>10.46</v>
      </c>
      <c r="P44" s="24">
        <f t="shared" si="5"/>
        <v>11.42</v>
      </c>
      <c r="Q44" s="24">
        <f t="shared" si="5"/>
        <v>15.160000000000002</v>
      </c>
      <c r="R44" s="24">
        <f t="shared" si="5"/>
        <v>14.280000000000001</v>
      </c>
      <c r="S44" s="26">
        <f t="shared" si="4"/>
        <v>9.0165199999999999</v>
      </c>
      <c r="T44" s="26">
        <f t="shared" si="1"/>
        <v>9.8440399999999997</v>
      </c>
      <c r="U44" s="26">
        <f t="shared" si="3"/>
        <v>5.9578800000000003</v>
      </c>
      <c r="V44" s="27">
        <f t="shared" si="2"/>
        <v>5.6120399999999995</v>
      </c>
    </row>
    <row r="45" spans="1:22" ht="16.5" thickTop="1" thickBot="1" x14ac:dyDescent="0.3">
      <c r="A45" s="11">
        <v>44959</v>
      </c>
      <c r="B45" s="9">
        <v>74.2</v>
      </c>
      <c r="C45" s="9">
        <v>74.2</v>
      </c>
      <c r="D45" s="9">
        <v>150.30000000000001</v>
      </c>
      <c r="E45" s="10">
        <v>150.30000000000001</v>
      </c>
      <c r="G45" s="13">
        <v>13</v>
      </c>
      <c r="H45" s="13">
        <v>9.3000000000000007</v>
      </c>
      <c r="I45" s="13">
        <v>55.5</v>
      </c>
      <c r="J45" s="14">
        <v>44.7</v>
      </c>
      <c r="K45" s="22">
        <v>61.2</v>
      </c>
      <c r="L45" s="23">
        <v>64.900000000000006</v>
      </c>
      <c r="M45" s="22">
        <v>94.800000000000011</v>
      </c>
      <c r="N45" s="23">
        <v>105.60000000000001</v>
      </c>
      <c r="O45" s="24">
        <f t="shared" si="5"/>
        <v>12.24</v>
      </c>
      <c r="P45" s="24">
        <f t="shared" si="5"/>
        <v>12.98</v>
      </c>
      <c r="Q45" s="24">
        <f t="shared" si="5"/>
        <v>18.96</v>
      </c>
      <c r="R45" s="24">
        <f t="shared" si="5"/>
        <v>21.12</v>
      </c>
      <c r="S45" s="26">
        <f t="shared" si="4"/>
        <v>10.550879999999999</v>
      </c>
      <c r="T45" s="26">
        <f t="shared" si="1"/>
        <v>11.18876</v>
      </c>
      <c r="U45" s="26">
        <f t="shared" si="3"/>
        <v>7.4512799999999997</v>
      </c>
      <c r="V45" s="27">
        <f t="shared" si="2"/>
        <v>8.30016</v>
      </c>
    </row>
    <row r="46" spans="1:22" ht="16.5" thickTop="1" thickBot="1" x14ac:dyDescent="0.3">
      <c r="A46" s="11">
        <v>44960</v>
      </c>
      <c r="B46" s="9">
        <v>74.050000000000011</v>
      </c>
      <c r="C46" s="9">
        <v>74.050000000000011</v>
      </c>
      <c r="D46" s="9">
        <v>150.30000000000001</v>
      </c>
      <c r="E46" s="10">
        <v>150.30000000000001</v>
      </c>
      <c r="G46" s="13">
        <v>17.100000000000001</v>
      </c>
      <c r="H46" s="13">
        <v>12.1</v>
      </c>
      <c r="I46" s="13">
        <v>74.400000000000006</v>
      </c>
      <c r="J46" s="14">
        <v>49.8</v>
      </c>
      <c r="K46" s="22">
        <v>56.95000000000001</v>
      </c>
      <c r="L46" s="23">
        <v>61.95000000000001</v>
      </c>
      <c r="M46" s="22">
        <v>75.900000000000006</v>
      </c>
      <c r="N46" s="23">
        <v>100.50000000000001</v>
      </c>
      <c r="O46" s="24">
        <f t="shared" si="5"/>
        <v>11.390000000000002</v>
      </c>
      <c r="P46" s="24">
        <f t="shared" si="5"/>
        <v>12.390000000000002</v>
      </c>
      <c r="Q46" s="24">
        <f t="shared" si="5"/>
        <v>15.180000000000001</v>
      </c>
      <c r="R46" s="24">
        <f t="shared" si="5"/>
        <v>20.100000000000001</v>
      </c>
      <c r="S46" s="26">
        <f t="shared" si="4"/>
        <v>9.8181800000000017</v>
      </c>
      <c r="T46" s="26">
        <f t="shared" si="1"/>
        <v>10.680180000000002</v>
      </c>
      <c r="U46" s="26">
        <f t="shared" si="3"/>
        <v>5.9657400000000003</v>
      </c>
      <c r="V46" s="27">
        <f t="shared" si="2"/>
        <v>7.8992999999999993</v>
      </c>
    </row>
    <row r="47" spans="1:22" ht="16.5" thickTop="1" thickBot="1" x14ac:dyDescent="0.3">
      <c r="A47" s="11">
        <v>44961</v>
      </c>
      <c r="B47" s="9">
        <v>74.75</v>
      </c>
      <c r="C47" s="9">
        <v>74.75</v>
      </c>
      <c r="D47" s="9">
        <v>150.19999999999999</v>
      </c>
      <c r="E47" s="10">
        <v>150.19999999999999</v>
      </c>
      <c r="G47" s="13">
        <v>20.399999999999999</v>
      </c>
      <c r="H47" s="13">
        <v>13.4</v>
      </c>
      <c r="I47" s="13">
        <v>50.1</v>
      </c>
      <c r="J47" s="14">
        <v>44.8</v>
      </c>
      <c r="K47" s="22">
        <v>54.35</v>
      </c>
      <c r="L47" s="23">
        <v>61.35</v>
      </c>
      <c r="M47" s="22">
        <v>100.1</v>
      </c>
      <c r="N47" s="23">
        <v>105.39999999999999</v>
      </c>
      <c r="O47" s="24">
        <f t="shared" si="5"/>
        <v>10.870000000000001</v>
      </c>
      <c r="P47" s="24">
        <f t="shared" si="5"/>
        <v>12.27</v>
      </c>
      <c r="Q47" s="24">
        <f t="shared" si="5"/>
        <v>20.02</v>
      </c>
      <c r="R47" s="24">
        <f t="shared" si="5"/>
        <v>21.08</v>
      </c>
      <c r="S47" s="26">
        <f t="shared" si="4"/>
        <v>9.3699400000000015</v>
      </c>
      <c r="T47" s="26">
        <f t="shared" si="1"/>
        <v>10.576739999999999</v>
      </c>
      <c r="U47" s="26">
        <f t="shared" si="3"/>
        <v>7.8678599999999994</v>
      </c>
      <c r="V47" s="27">
        <f t="shared" si="2"/>
        <v>8.2844399999999982</v>
      </c>
    </row>
    <row r="48" spans="1:22" ht="16.5" thickTop="1" thickBot="1" x14ac:dyDescent="0.3">
      <c r="A48" s="11">
        <v>44962</v>
      </c>
      <c r="B48" s="9">
        <v>74.75</v>
      </c>
      <c r="C48" s="9">
        <v>74.75</v>
      </c>
      <c r="D48" s="9">
        <v>150.19999999999999</v>
      </c>
      <c r="E48" s="10">
        <v>150.19999999999999</v>
      </c>
      <c r="G48" s="13">
        <v>19.8</v>
      </c>
      <c r="H48" s="13">
        <v>19.899999999999999</v>
      </c>
      <c r="I48" s="13">
        <v>34.9</v>
      </c>
      <c r="J48" s="14">
        <v>52.7</v>
      </c>
      <c r="K48" s="22">
        <v>54.95</v>
      </c>
      <c r="L48" s="23">
        <v>54.85</v>
      </c>
      <c r="M48" s="22">
        <v>115.29999999999998</v>
      </c>
      <c r="N48" s="23">
        <v>97.499999999999986</v>
      </c>
      <c r="O48" s="24">
        <f t="shared" si="5"/>
        <v>10.99</v>
      </c>
      <c r="P48" s="24">
        <f t="shared" si="5"/>
        <v>10.97</v>
      </c>
      <c r="Q48" s="24">
        <f t="shared" si="5"/>
        <v>23.059999999999995</v>
      </c>
      <c r="R48" s="24">
        <f t="shared" si="5"/>
        <v>19.499999999999996</v>
      </c>
      <c r="S48" s="26">
        <f t="shared" si="4"/>
        <v>9.4733800000000006</v>
      </c>
      <c r="T48" s="26">
        <f t="shared" si="1"/>
        <v>9.4561399999999995</v>
      </c>
      <c r="U48" s="26">
        <f t="shared" si="3"/>
        <v>9.062579999999997</v>
      </c>
      <c r="V48" s="27">
        <f t="shared" si="2"/>
        <v>7.6634999999999982</v>
      </c>
    </row>
    <row r="49" spans="1:22" ht="16.5" thickTop="1" thickBot="1" x14ac:dyDescent="0.3">
      <c r="A49" s="11">
        <v>44963</v>
      </c>
      <c r="B49" s="9">
        <v>74.8</v>
      </c>
      <c r="C49" s="9">
        <v>74.8</v>
      </c>
      <c r="D49" s="9">
        <v>149.94999999999999</v>
      </c>
      <c r="E49" s="10">
        <v>149.94999999999999</v>
      </c>
      <c r="G49" s="13">
        <v>11.4</v>
      </c>
      <c r="H49" s="13">
        <v>9.6</v>
      </c>
      <c r="I49" s="13">
        <v>57.9</v>
      </c>
      <c r="J49" s="14">
        <v>48</v>
      </c>
      <c r="K49" s="22">
        <v>63.4</v>
      </c>
      <c r="L49" s="23">
        <v>65.2</v>
      </c>
      <c r="M49" s="22">
        <v>92.049999999999983</v>
      </c>
      <c r="N49" s="23">
        <v>101.94999999999999</v>
      </c>
      <c r="O49" s="24">
        <f t="shared" si="5"/>
        <v>12.68</v>
      </c>
      <c r="P49" s="24">
        <f t="shared" si="5"/>
        <v>13.040000000000001</v>
      </c>
      <c r="Q49" s="24">
        <f t="shared" si="5"/>
        <v>18.409999999999997</v>
      </c>
      <c r="R49" s="24">
        <f t="shared" si="5"/>
        <v>20.389999999999997</v>
      </c>
      <c r="S49" s="26">
        <f t="shared" si="4"/>
        <v>10.930159999999999</v>
      </c>
      <c r="T49" s="26">
        <f t="shared" si="1"/>
        <v>11.24048</v>
      </c>
      <c r="U49" s="26">
        <f t="shared" si="3"/>
        <v>7.2351299999999981</v>
      </c>
      <c r="V49" s="27">
        <f t="shared" si="2"/>
        <v>8.0132699999999986</v>
      </c>
    </row>
    <row r="50" spans="1:22" ht="16.5" thickTop="1" thickBot="1" x14ac:dyDescent="0.3">
      <c r="A50" s="11">
        <v>44964</v>
      </c>
      <c r="B50" s="9">
        <v>74.8</v>
      </c>
      <c r="C50" s="9">
        <v>74.8</v>
      </c>
      <c r="D50" s="9">
        <v>150.19999999999999</v>
      </c>
      <c r="E50" s="10">
        <v>150.19999999999999</v>
      </c>
      <c r="G50" s="13">
        <v>21.5</v>
      </c>
      <c r="H50" s="13">
        <v>7.3</v>
      </c>
      <c r="I50" s="13">
        <v>38.200000000000003</v>
      </c>
      <c r="J50" s="14">
        <v>47.2</v>
      </c>
      <c r="K50" s="22">
        <v>53.3</v>
      </c>
      <c r="L50" s="23">
        <v>67.5</v>
      </c>
      <c r="M50" s="22">
        <v>111.99999999999999</v>
      </c>
      <c r="N50" s="23">
        <v>102.99999999999999</v>
      </c>
      <c r="O50" s="24">
        <f t="shared" si="5"/>
        <v>10.66</v>
      </c>
      <c r="P50" s="24">
        <f t="shared" si="5"/>
        <v>13.5</v>
      </c>
      <c r="Q50" s="24">
        <f t="shared" si="5"/>
        <v>22.4</v>
      </c>
      <c r="R50" s="24">
        <f t="shared" si="5"/>
        <v>20.599999999999998</v>
      </c>
      <c r="S50" s="26">
        <f t="shared" si="4"/>
        <v>9.1889199999999995</v>
      </c>
      <c r="T50" s="26">
        <f t="shared" si="1"/>
        <v>11.637</v>
      </c>
      <c r="U50" s="26">
        <f t="shared" si="3"/>
        <v>8.8031999999999986</v>
      </c>
      <c r="V50" s="27">
        <f t="shared" si="2"/>
        <v>8.0957999999999988</v>
      </c>
    </row>
    <row r="51" spans="1:22" ht="16.5" thickTop="1" thickBot="1" x14ac:dyDescent="0.3">
      <c r="A51" s="11">
        <v>44965</v>
      </c>
      <c r="B51" s="9">
        <v>74.8</v>
      </c>
      <c r="C51" s="9">
        <v>74.8</v>
      </c>
      <c r="D51" s="9">
        <v>150.19999999999999</v>
      </c>
      <c r="E51" s="10">
        <v>150.19999999999999</v>
      </c>
      <c r="G51" s="13">
        <v>20.100000000000001</v>
      </c>
      <c r="H51" s="13">
        <v>11.7</v>
      </c>
      <c r="I51" s="13">
        <v>45.1</v>
      </c>
      <c r="J51" s="14">
        <v>54.2</v>
      </c>
      <c r="K51" s="22">
        <v>54.699999999999996</v>
      </c>
      <c r="L51" s="23">
        <v>63.099999999999994</v>
      </c>
      <c r="M51" s="22">
        <v>105.1</v>
      </c>
      <c r="N51" s="23">
        <v>95.999999999999986</v>
      </c>
      <c r="O51" s="24">
        <f t="shared" si="5"/>
        <v>10.94</v>
      </c>
      <c r="P51" s="24">
        <f t="shared" si="5"/>
        <v>12.62</v>
      </c>
      <c r="Q51" s="24">
        <f t="shared" si="5"/>
        <v>21.02</v>
      </c>
      <c r="R51" s="24">
        <f t="shared" si="5"/>
        <v>19.199999999999996</v>
      </c>
      <c r="S51" s="26">
        <f t="shared" si="4"/>
        <v>9.4302799999999998</v>
      </c>
      <c r="T51" s="26">
        <f t="shared" si="1"/>
        <v>10.878439999999999</v>
      </c>
      <c r="U51" s="26">
        <f t="shared" si="3"/>
        <v>8.2608599999999992</v>
      </c>
      <c r="V51" s="27">
        <f t="shared" si="2"/>
        <v>7.5455999999999976</v>
      </c>
    </row>
    <row r="52" spans="1:22" ht="16.5" thickTop="1" thickBot="1" x14ac:dyDescent="0.3">
      <c r="A52" s="11">
        <v>44966</v>
      </c>
      <c r="B52" s="9">
        <v>74.8</v>
      </c>
      <c r="C52" s="9">
        <v>74.8</v>
      </c>
      <c r="D52" s="9">
        <v>150.30000000000001</v>
      </c>
      <c r="E52" s="10">
        <v>150.30000000000001</v>
      </c>
      <c r="G52" s="13">
        <v>17.100000000000001</v>
      </c>
      <c r="H52" s="13">
        <v>12.5</v>
      </c>
      <c r="I52" s="13">
        <v>40.6</v>
      </c>
      <c r="J52" s="14">
        <v>52.2</v>
      </c>
      <c r="K52" s="22">
        <v>57.699999999999996</v>
      </c>
      <c r="L52" s="23">
        <v>62.3</v>
      </c>
      <c r="M52" s="22">
        <v>109.70000000000002</v>
      </c>
      <c r="N52" s="23">
        <v>98.100000000000009</v>
      </c>
      <c r="O52" s="24">
        <f t="shared" si="5"/>
        <v>11.54</v>
      </c>
      <c r="P52" s="24">
        <f t="shared" si="5"/>
        <v>12.459999999999999</v>
      </c>
      <c r="Q52" s="24">
        <f t="shared" si="5"/>
        <v>21.940000000000005</v>
      </c>
      <c r="R52" s="24">
        <f t="shared" si="5"/>
        <v>19.62</v>
      </c>
      <c r="S52" s="26">
        <f t="shared" si="4"/>
        <v>9.9474799999999988</v>
      </c>
      <c r="T52" s="26">
        <f t="shared" si="1"/>
        <v>10.740519999999998</v>
      </c>
      <c r="U52" s="26">
        <f t="shared" si="3"/>
        <v>8.6224200000000017</v>
      </c>
      <c r="V52" s="27">
        <f t="shared" si="2"/>
        <v>7.7106599999999998</v>
      </c>
    </row>
    <row r="53" spans="1:22" ht="16.5" thickTop="1" thickBot="1" x14ac:dyDescent="0.3">
      <c r="A53" s="11">
        <v>44967</v>
      </c>
      <c r="B53" s="9">
        <v>74.8</v>
      </c>
      <c r="C53" s="9">
        <v>74.8</v>
      </c>
      <c r="D53" s="9">
        <v>150.19999999999999</v>
      </c>
      <c r="E53" s="10">
        <v>150.19999999999999</v>
      </c>
      <c r="G53" s="13">
        <v>14.2</v>
      </c>
      <c r="H53" s="13">
        <v>3.8</v>
      </c>
      <c r="I53" s="13">
        <v>25.2</v>
      </c>
      <c r="J53" s="14">
        <v>40</v>
      </c>
      <c r="K53" s="22">
        <v>60.599999999999994</v>
      </c>
      <c r="L53" s="23">
        <v>71</v>
      </c>
      <c r="M53" s="22">
        <v>124.99999999999999</v>
      </c>
      <c r="N53" s="23">
        <v>110.19999999999999</v>
      </c>
      <c r="O53" s="24">
        <f t="shared" si="5"/>
        <v>12.12</v>
      </c>
      <c r="P53" s="24">
        <f t="shared" si="5"/>
        <v>14.2</v>
      </c>
      <c r="Q53" s="24">
        <f t="shared" si="5"/>
        <v>24.999999999999996</v>
      </c>
      <c r="R53" s="24">
        <f t="shared" si="5"/>
        <v>22.04</v>
      </c>
      <c r="S53" s="26">
        <f t="shared" si="4"/>
        <v>10.447439999999999</v>
      </c>
      <c r="T53" s="26">
        <f t="shared" si="1"/>
        <v>12.240399999999999</v>
      </c>
      <c r="U53" s="26">
        <f t="shared" si="3"/>
        <v>9.8249999999999975</v>
      </c>
      <c r="V53" s="27">
        <f t="shared" si="2"/>
        <v>8.661719999999999</v>
      </c>
    </row>
    <row r="54" spans="1:22" ht="16.5" thickTop="1" thickBot="1" x14ac:dyDescent="0.3">
      <c r="A54" s="11">
        <v>44968</v>
      </c>
      <c r="B54" s="9">
        <v>149</v>
      </c>
      <c r="C54" s="9">
        <v>149</v>
      </c>
      <c r="D54" s="9">
        <v>300.5</v>
      </c>
      <c r="E54" s="10">
        <v>300.5</v>
      </c>
      <c r="G54" s="13">
        <v>31</v>
      </c>
      <c r="H54" s="13">
        <v>19</v>
      </c>
      <c r="I54" s="13">
        <v>82.3</v>
      </c>
      <c r="J54" s="14">
        <v>89.3</v>
      </c>
      <c r="K54" s="22">
        <v>59</v>
      </c>
      <c r="L54" s="23">
        <v>65</v>
      </c>
      <c r="M54" s="22">
        <v>109.1</v>
      </c>
      <c r="N54" s="23">
        <v>105.6</v>
      </c>
      <c r="O54" s="24">
        <f t="shared" si="5"/>
        <v>11.8</v>
      </c>
      <c r="P54" s="24">
        <f t="shared" si="5"/>
        <v>13</v>
      </c>
      <c r="Q54" s="24">
        <f t="shared" si="5"/>
        <v>21.82</v>
      </c>
      <c r="R54" s="24">
        <f t="shared" si="5"/>
        <v>21.119999999999997</v>
      </c>
      <c r="S54" s="26">
        <f t="shared" si="4"/>
        <v>10.1716</v>
      </c>
      <c r="T54" s="26">
        <f t="shared" si="1"/>
        <v>11.206</v>
      </c>
      <c r="U54" s="26">
        <f t="shared" si="3"/>
        <v>8.5752600000000001</v>
      </c>
      <c r="V54" s="27">
        <f t="shared" si="2"/>
        <v>8.3001599999999982</v>
      </c>
    </row>
    <row r="55" spans="1:22" ht="16.5" thickTop="1" thickBot="1" x14ac:dyDescent="0.3">
      <c r="A55" s="11">
        <v>44970</v>
      </c>
      <c r="B55" s="9">
        <v>75</v>
      </c>
      <c r="C55" s="9">
        <v>75</v>
      </c>
      <c r="D55" s="9">
        <v>150.25</v>
      </c>
      <c r="E55" s="10">
        <v>150.25</v>
      </c>
      <c r="G55" s="13">
        <v>12.8</v>
      </c>
      <c r="H55" s="13">
        <v>12.1</v>
      </c>
      <c r="I55" s="13">
        <v>44.1</v>
      </c>
      <c r="J55" s="14">
        <v>31.6</v>
      </c>
      <c r="K55" s="22">
        <v>62.2</v>
      </c>
      <c r="L55" s="23">
        <v>62.9</v>
      </c>
      <c r="M55" s="22">
        <v>106.15</v>
      </c>
      <c r="N55" s="23">
        <v>118.65</v>
      </c>
      <c r="O55" s="24">
        <f t="shared" si="5"/>
        <v>12.440000000000001</v>
      </c>
      <c r="P55" s="24">
        <f t="shared" si="5"/>
        <v>12.58</v>
      </c>
      <c r="Q55" s="24">
        <f t="shared" si="5"/>
        <v>21.23</v>
      </c>
      <c r="R55" s="24">
        <f t="shared" si="5"/>
        <v>23.73</v>
      </c>
      <c r="S55" s="26">
        <f t="shared" si="4"/>
        <v>10.723280000000001</v>
      </c>
      <c r="T55" s="26">
        <f t="shared" si="1"/>
        <v>10.843959999999999</v>
      </c>
      <c r="U55" s="26">
        <f t="shared" si="3"/>
        <v>8.3433899999999994</v>
      </c>
      <c r="V55" s="27">
        <f t="shared" si="2"/>
        <v>9.3258899999999993</v>
      </c>
    </row>
    <row r="56" spans="1:22" ht="16.5" thickTop="1" thickBot="1" x14ac:dyDescent="0.3">
      <c r="A56" s="11">
        <v>44971</v>
      </c>
      <c r="B56" s="9">
        <v>74.5</v>
      </c>
      <c r="C56" s="9">
        <v>74.5</v>
      </c>
      <c r="D56" s="9">
        <v>149.75</v>
      </c>
      <c r="E56" s="10">
        <v>149.75</v>
      </c>
      <c r="G56" s="13">
        <v>12.3</v>
      </c>
      <c r="H56" s="13">
        <v>12.6</v>
      </c>
      <c r="I56" s="13">
        <v>33.6</v>
      </c>
      <c r="J56" s="14">
        <v>39.4</v>
      </c>
      <c r="K56" s="22">
        <v>62.2</v>
      </c>
      <c r="L56" s="23">
        <v>61.9</v>
      </c>
      <c r="M56" s="22">
        <v>116.15</v>
      </c>
      <c r="N56" s="23">
        <v>110.35</v>
      </c>
      <c r="O56" s="24">
        <f t="shared" si="5"/>
        <v>12.440000000000001</v>
      </c>
      <c r="P56" s="24">
        <f t="shared" si="5"/>
        <v>12.379999999999999</v>
      </c>
      <c r="Q56" s="24">
        <f t="shared" si="5"/>
        <v>23.23</v>
      </c>
      <c r="R56" s="24">
        <f t="shared" si="5"/>
        <v>22.07</v>
      </c>
      <c r="S56" s="26">
        <f t="shared" si="4"/>
        <v>10.723280000000001</v>
      </c>
      <c r="T56" s="26">
        <f t="shared" si="1"/>
        <v>10.671559999999999</v>
      </c>
      <c r="U56" s="26">
        <f t="shared" si="3"/>
        <v>9.129389999999999</v>
      </c>
      <c r="V56" s="27">
        <f t="shared" si="2"/>
        <v>8.6735099999999985</v>
      </c>
    </row>
    <row r="57" spans="1:22" ht="16.5" thickTop="1" thickBot="1" x14ac:dyDescent="0.3">
      <c r="A57" s="11">
        <v>44972</v>
      </c>
      <c r="B57" s="9">
        <v>74.8</v>
      </c>
      <c r="C57" s="9">
        <v>74.8</v>
      </c>
      <c r="D57" s="9">
        <v>150.25</v>
      </c>
      <c r="E57" s="10">
        <v>150.25</v>
      </c>
      <c r="G57" s="13">
        <v>9.3000000000000007</v>
      </c>
      <c r="H57" s="13">
        <v>11.4</v>
      </c>
      <c r="I57" s="13">
        <v>34.5</v>
      </c>
      <c r="J57" s="14">
        <v>18.899999999999999</v>
      </c>
      <c r="K57" s="22">
        <v>65.5</v>
      </c>
      <c r="L57" s="23">
        <v>63.4</v>
      </c>
      <c r="M57" s="22">
        <v>115.75</v>
      </c>
      <c r="N57" s="23">
        <v>131.35</v>
      </c>
      <c r="O57" s="24">
        <f t="shared" si="5"/>
        <v>13.1</v>
      </c>
      <c r="P57" s="24">
        <f t="shared" si="5"/>
        <v>12.68</v>
      </c>
      <c r="Q57" s="24">
        <f t="shared" si="5"/>
        <v>23.15</v>
      </c>
      <c r="R57" s="24">
        <f t="shared" si="5"/>
        <v>26.27</v>
      </c>
      <c r="S57" s="26">
        <f t="shared" si="4"/>
        <v>11.292199999999999</v>
      </c>
      <c r="T57" s="26">
        <f t="shared" si="1"/>
        <v>10.930159999999999</v>
      </c>
      <c r="U57" s="26">
        <f t="shared" si="3"/>
        <v>9.0979499999999991</v>
      </c>
      <c r="V57" s="27">
        <f t="shared" si="2"/>
        <v>10.324109999999999</v>
      </c>
    </row>
    <row r="58" spans="1:22" ht="16.5" thickTop="1" thickBot="1" x14ac:dyDescent="0.3">
      <c r="A58" s="11">
        <v>44973</v>
      </c>
      <c r="B58" s="9">
        <v>74.8</v>
      </c>
      <c r="C58" s="9">
        <v>74.8</v>
      </c>
      <c r="D58" s="9">
        <v>150.25</v>
      </c>
      <c r="E58" s="10">
        <v>150.25</v>
      </c>
      <c r="G58" s="13">
        <v>11.5</v>
      </c>
      <c r="H58" s="13">
        <v>19.2</v>
      </c>
      <c r="I58" s="13">
        <v>38.200000000000003</v>
      </c>
      <c r="J58" s="14">
        <v>54</v>
      </c>
      <c r="K58" s="22">
        <v>63.3</v>
      </c>
      <c r="L58" s="23">
        <v>55.599999999999994</v>
      </c>
      <c r="M58" s="22">
        <v>112.05</v>
      </c>
      <c r="N58" s="23">
        <v>96.25</v>
      </c>
      <c r="O58" s="24">
        <f t="shared" si="5"/>
        <v>12.66</v>
      </c>
      <c r="P58" s="24">
        <f t="shared" si="5"/>
        <v>11.12</v>
      </c>
      <c r="Q58" s="24">
        <f t="shared" si="5"/>
        <v>22.41</v>
      </c>
      <c r="R58" s="24">
        <f t="shared" si="5"/>
        <v>19.25</v>
      </c>
      <c r="S58" s="26">
        <f t="shared" si="4"/>
        <v>10.91292</v>
      </c>
      <c r="T58" s="26">
        <f t="shared" si="1"/>
        <v>9.5854399999999984</v>
      </c>
      <c r="U58" s="26">
        <f t="shared" si="3"/>
        <v>8.807129999999999</v>
      </c>
      <c r="V58" s="27">
        <f t="shared" si="2"/>
        <v>7.5652499999999989</v>
      </c>
    </row>
    <row r="59" spans="1:22" ht="16.5" thickTop="1" thickBot="1" x14ac:dyDescent="0.3">
      <c r="A59" s="11">
        <v>44974</v>
      </c>
      <c r="B59" s="9">
        <v>74.8</v>
      </c>
      <c r="C59" s="9">
        <v>74.8</v>
      </c>
      <c r="D59" s="9">
        <v>150.25</v>
      </c>
      <c r="E59" s="10">
        <v>150.25</v>
      </c>
      <c r="G59" s="13">
        <v>13</v>
      </c>
      <c r="H59" s="13">
        <v>16.5</v>
      </c>
      <c r="I59" s="13">
        <v>30</v>
      </c>
      <c r="J59" s="14">
        <v>24.6</v>
      </c>
      <c r="K59" s="22">
        <v>61.8</v>
      </c>
      <c r="L59" s="23">
        <v>58.3</v>
      </c>
      <c r="M59" s="22">
        <v>120.25</v>
      </c>
      <c r="N59" s="23">
        <v>125.65</v>
      </c>
      <c r="O59" s="24">
        <f t="shared" si="5"/>
        <v>12.36</v>
      </c>
      <c r="P59" s="24">
        <f t="shared" si="5"/>
        <v>11.66</v>
      </c>
      <c r="Q59" s="24">
        <f t="shared" si="5"/>
        <v>24.05</v>
      </c>
      <c r="R59" s="24">
        <f t="shared" si="5"/>
        <v>25.130000000000003</v>
      </c>
      <c r="S59" s="26">
        <f t="shared" si="4"/>
        <v>10.65432</v>
      </c>
      <c r="T59" s="26">
        <f t="shared" si="1"/>
        <v>10.05092</v>
      </c>
      <c r="U59" s="26">
        <f t="shared" si="3"/>
        <v>9.451649999999999</v>
      </c>
      <c r="V59" s="27">
        <f t="shared" si="2"/>
        <v>9.8760899999999996</v>
      </c>
    </row>
    <row r="60" spans="1:22" ht="16.5" thickTop="1" thickBot="1" x14ac:dyDescent="0.3">
      <c r="A60" s="11">
        <v>44975</v>
      </c>
      <c r="B60" s="9">
        <v>74.8</v>
      </c>
      <c r="C60" s="9">
        <v>74.8</v>
      </c>
      <c r="D60" s="9">
        <v>150.25</v>
      </c>
      <c r="E60" s="10">
        <v>150.25</v>
      </c>
      <c r="G60" s="13">
        <v>11.9</v>
      </c>
      <c r="H60" s="13">
        <v>14.5</v>
      </c>
      <c r="I60" s="13">
        <v>34.9</v>
      </c>
      <c r="J60" s="14">
        <v>34.299999999999997</v>
      </c>
      <c r="K60" s="22">
        <v>62.9</v>
      </c>
      <c r="L60" s="23">
        <v>60.3</v>
      </c>
      <c r="M60" s="22">
        <v>115.35</v>
      </c>
      <c r="N60" s="23">
        <v>115.95</v>
      </c>
      <c r="O60" s="24">
        <f t="shared" si="5"/>
        <v>12.58</v>
      </c>
      <c r="P60" s="24">
        <f t="shared" si="5"/>
        <v>12.059999999999999</v>
      </c>
      <c r="Q60" s="24">
        <f t="shared" si="5"/>
        <v>23.07</v>
      </c>
      <c r="R60" s="24">
        <f t="shared" si="5"/>
        <v>23.19</v>
      </c>
      <c r="S60" s="26">
        <f t="shared" si="4"/>
        <v>10.843959999999999</v>
      </c>
      <c r="T60" s="26">
        <f t="shared" si="1"/>
        <v>10.395719999999999</v>
      </c>
      <c r="U60" s="26">
        <f t="shared" si="3"/>
        <v>9.0665099999999992</v>
      </c>
      <c r="V60" s="27">
        <f t="shared" si="2"/>
        <v>9.113669999999999</v>
      </c>
    </row>
    <row r="61" spans="1:22" ht="16.5" thickTop="1" thickBot="1" x14ac:dyDescent="0.3">
      <c r="A61" s="11">
        <v>44976</v>
      </c>
      <c r="B61" s="9">
        <v>74.8</v>
      </c>
      <c r="C61" s="9">
        <v>74.8</v>
      </c>
      <c r="D61" s="9">
        <v>150.25</v>
      </c>
      <c r="E61" s="10">
        <v>150.25</v>
      </c>
      <c r="G61" s="13">
        <v>9.4</v>
      </c>
      <c r="H61" s="13">
        <v>11.3</v>
      </c>
      <c r="I61" s="13">
        <v>25.1</v>
      </c>
      <c r="J61" s="14">
        <v>24.5</v>
      </c>
      <c r="K61" s="22">
        <v>65.399999999999991</v>
      </c>
      <c r="L61" s="23">
        <v>63.5</v>
      </c>
      <c r="M61" s="22">
        <v>125.15</v>
      </c>
      <c r="N61" s="23">
        <v>125.75</v>
      </c>
      <c r="O61" s="24">
        <f t="shared" si="5"/>
        <v>13.079999999999998</v>
      </c>
      <c r="P61" s="24">
        <f t="shared" si="5"/>
        <v>12.7</v>
      </c>
      <c r="Q61" s="24">
        <f t="shared" si="5"/>
        <v>25.03</v>
      </c>
      <c r="R61" s="24">
        <f t="shared" si="5"/>
        <v>25.15</v>
      </c>
      <c r="S61" s="26">
        <f t="shared" si="4"/>
        <v>11.274959999999998</v>
      </c>
      <c r="T61" s="26">
        <f t="shared" si="1"/>
        <v>10.9474</v>
      </c>
      <c r="U61" s="26">
        <f t="shared" si="3"/>
        <v>9.8367899999999988</v>
      </c>
      <c r="V61" s="27">
        <f t="shared" si="2"/>
        <v>9.8839499999999987</v>
      </c>
    </row>
    <row r="62" spans="1:22" ht="16.5" thickTop="1" thickBot="1" x14ac:dyDescent="0.3">
      <c r="A62" s="11">
        <v>44977</v>
      </c>
      <c r="B62" s="9">
        <v>74.8</v>
      </c>
      <c r="C62" s="9">
        <v>74.8</v>
      </c>
      <c r="D62" s="9">
        <v>150.25</v>
      </c>
      <c r="E62" s="10">
        <v>150.25</v>
      </c>
      <c r="G62" s="13">
        <v>8.5</v>
      </c>
      <c r="H62" s="13">
        <v>10</v>
      </c>
      <c r="I62" s="13">
        <v>33</v>
      </c>
      <c r="J62" s="14">
        <v>47.1</v>
      </c>
      <c r="K62" s="22">
        <v>66.3</v>
      </c>
      <c r="L62" s="23">
        <v>64.8</v>
      </c>
      <c r="M62" s="22">
        <v>117.25</v>
      </c>
      <c r="N62" s="23">
        <v>103.15</v>
      </c>
      <c r="O62" s="24">
        <f t="shared" si="5"/>
        <v>13.26</v>
      </c>
      <c r="P62" s="24">
        <f t="shared" si="5"/>
        <v>12.959999999999999</v>
      </c>
      <c r="Q62" s="24">
        <f t="shared" si="5"/>
        <v>23.45</v>
      </c>
      <c r="R62" s="24">
        <f t="shared" si="5"/>
        <v>20.630000000000003</v>
      </c>
      <c r="S62" s="26">
        <f t="shared" si="4"/>
        <v>11.430120000000001</v>
      </c>
      <c r="T62" s="26">
        <f t="shared" si="1"/>
        <v>11.171519999999999</v>
      </c>
      <c r="U62" s="26">
        <f t="shared" si="3"/>
        <v>9.2158499999999997</v>
      </c>
      <c r="V62" s="27">
        <f t="shared" si="2"/>
        <v>8.1075900000000001</v>
      </c>
    </row>
    <row r="63" spans="1:22" ht="16.5" thickTop="1" thickBot="1" x14ac:dyDescent="0.3">
      <c r="A63" s="11">
        <v>44978</v>
      </c>
      <c r="B63" s="9">
        <v>74.8</v>
      </c>
      <c r="C63" s="9">
        <v>74.8</v>
      </c>
      <c r="D63" s="9">
        <v>150.25</v>
      </c>
      <c r="E63" s="10">
        <v>150.25</v>
      </c>
      <c r="G63" s="13">
        <v>14.4</v>
      </c>
      <c r="H63" s="13">
        <v>12.9</v>
      </c>
      <c r="I63" s="13">
        <v>33.5</v>
      </c>
      <c r="J63" s="14">
        <v>39.6</v>
      </c>
      <c r="K63" s="22">
        <v>60.4</v>
      </c>
      <c r="L63" s="23">
        <v>61.9</v>
      </c>
      <c r="M63" s="22">
        <v>116.75</v>
      </c>
      <c r="N63" s="23">
        <v>110.65</v>
      </c>
      <c r="O63" s="25">
        <f t="shared" si="5"/>
        <v>12.08</v>
      </c>
      <c r="P63" s="25">
        <f t="shared" si="5"/>
        <v>12.379999999999999</v>
      </c>
      <c r="Q63" s="25">
        <f t="shared" si="5"/>
        <v>23.35</v>
      </c>
      <c r="R63" s="25">
        <f t="shared" si="5"/>
        <v>22.130000000000003</v>
      </c>
      <c r="S63" s="26">
        <f t="shared" si="4"/>
        <v>10.41296</v>
      </c>
      <c r="T63" s="26">
        <f t="shared" si="1"/>
        <v>10.671559999999999</v>
      </c>
      <c r="U63" s="26">
        <f t="shared" si="3"/>
        <v>9.1765499999999989</v>
      </c>
      <c r="V63" s="27">
        <f t="shared" si="2"/>
        <v>8.6970899999999993</v>
      </c>
    </row>
    <row r="64" spans="1:22" ht="16.5" thickTop="1" thickBot="1" x14ac:dyDescent="0.3">
      <c r="A64" s="11">
        <v>44979</v>
      </c>
      <c r="B64" s="9">
        <v>74.8</v>
      </c>
      <c r="C64" s="9">
        <v>74.8</v>
      </c>
      <c r="D64" s="9">
        <v>150.25</v>
      </c>
      <c r="E64" s="10">
        <v>150.25</v>
      </c>
      <c r="G64" s="13">
        <v>10.7</v>
      </c>
      <c r="H64" s="13">
        <v>11.4</v>
      </c>
      <c r="I64" s="13">
        <v>28.6</v>
      </c>
      <c r="J64" s="14">
        <v>49.6</v>
      </c>
      <c r="K64" s="22">
        <v>64.099999999999994</v>
      </c>
      <c r="L64" s="23">
        <v>63.4</v>
      </c>
      <c r="M64" s="22">
        <v>121.65</v>
      </c>
      <c r="N64" s="23">
        <v>100.65</v>
      </c>
      <c r="O64" s="25">
        <f t="shared" si="5"/>
        <v>12.819999999999999</v>
      </c>
      <c r="P64" s="25">
        <f t="shared" si="5"/>
        <v>12.68</v>
      </c>
      <c r="Q64" s="25">
        <f t="shared" si="5"/>
        <v>24.330000000000002</v>
      </c>
      <c r="R64" s="25">
        <f t="shared" si="5"/>
        <v>20.130000000000003</v>
      </c>
      <c r="S64" s="26">
        <f t="shared" si="4"/>
        <v>11.050839999999999</v>
      </c>
      <c r="T64" s="26">
        <f t="shared" si="1"/>
        <v>10.930159999999999</v>
      </c>
      <c r="U64" s="26">
        <f t="shared" si="3"/>
        <v>9.5616900000000005</v>
      </c>
      <c r="V64" s="27">
        <f t="shared" si="2"/>
        <v>7.9110900000000006</v>
      </c>
    </row>
    <row r="65" spans="1:22" ht="16.5" thickTop="1" thickBot="1" x14ac:dyDescent="0.3">
      <c r="A65" s="11">
        <v>44980</v>
      </c>
      <c r="B65" s="9">
        <v>74.8</v>
      </c>
      <c r="C65" s="9">
        <v>74.8</v>
      </c>
      <c r="D65" s="9">
        <v>150.25</v>
      </c>
      <c r="E65" s="10">
        <v>150.25</v>
      </c>
      <c r="G65" s="13">
        <v>2.2999999999999998</v>
      </c>
      <c r="H65" s="13">
        <v>1.9</v>
      </c>
      <c r="I65" s="13">
        <v>27.2</v>
      </c>
      <c r="J65" s="14">
        <v>40.1</v>
      </c>
      <c r="K65" s="22">
        <v>72.5</v>
      </c>
      <c r="L65" s="23">
        <v>72.899999999999991</v>
      </c>
      <c r="M65" s="22">
        <v>123.05</v>
      </c>
      <c r="N65" s="23">
        <v>110.15</v>
      </c>
      <c r="O65" s="25">
        <f t="shared" si="5"/>
        <v>14.5</v>
      </c>
      <c r="P65" s="25">
        <f t="shared" si="5"/>
        <v>14.579999999999998</v>
      </c>
      <c r="Q65" s="25">
        <f t="shared" si="5"/>
        <v>24.61</v>
      </c>
      <c r="R65" s="25">
        <f t="shared" si="5"/>
        <v>22.03</v>
      </c>
      <c r="S65" s="26">
        <f t="shared" si="4"/>
        <v>12.499000000000001</v>
      </c>
      <c r="T65" s="26">
        <f t="shared" si="1"/>
        <v>12.567959999999998</v>
      </c>
      <c r="U65" s="26">
        <f t="shared" si="3"/>
        <v>9.6717299999999984</v>
      </c>
      <c r="V65" s="27">
        <f t="shared" si="2"/>
        <v>8.6577900000000003</v>
      </c>
    </row>
    <row r="66" spans="1:22" ht="16.5" thickTop="1" thickBot="1" x14ac:dyDescent="0.3">
      <c r="A66" s="11">
        <v>44981</v>
      </c>
      <c r="B66" s="9">
        <v>84</v>
      </c>
      <c r="C66" s="9">
        <v>84</v>
      </c>
      <c r="D66" s="9">
        <v>167.5</v>
      </c>
      <c r="E66" s="10">
        <v>167.5</v>
      </c>
      <c r="G66" s="13">
        <v>12</v>
      </c>
      <c r="H66" s="13">
        <v>6.6</v>
      </c>
      <c r="I66" s="13">
        <v>40.200000000000003</v>
      </c>
      <c r="J66" s="14">
        <v>57.5</v>
      </c>
      <c r="K66" s="22">
        <v>72</v>
      </c>
      <c r="L66" s="23">
        <v>77.400000000000006</v>
      </c>
      <c r="M66" s="22">
        <v>127.3</v>
      </c>
      <c r="N66" s="23">
        <v>110</v>
      </c>
      <c r="O66" s="25">
        <f t="shared" si="5"/>
        <v>14.4</v>
      </c>
      <c r="P66" s="25">
        <f t="shared" si="5"/>
        <v>15.48</v>
      </c>
      <c r="Q66" s="25">
        <f t="shared" si="5"/>
        <v>25.46</v>
      </c>
      <c r="R66" s="25">
        <f t="shared" si="5"/>
        <v>22</v>
      </c>
      <c r="S66" s="26">
        <f t="shared" si="4"/>
        <v>12.412800000000001</v>
      </c>
      <c r="T66" s="26">
        <f t="shared" si="1"/>
        <v>13.34376</v>
      </c>
      <c r="U66" s="26">
        <f t="shared" si="3"/>
        <v>10.00578</v>
      </c>
      <c r="V66" s="27">
        <f t="shared" si="2"/>
        <v>8.645999999999999</v>
      </c>
    </row>
    <row r="67" spans="1:22" ht="16.5" thickTop="1" thickBot="1" x14ac:dyDescent="0.3">
      <c r="A67" s="11">
        <v>44982</v>
      </c>
      <c r="B67" s="9">
        <v>168</v>
      </c>
      <c r="C67" s="9">
        <v>168</v>
      </c>
      <c r="D67" s="9">
        <v>335</v>
      </c>
      <c r="E67" s="10">
        <v>335</v>
      </c>
      <c r="G67" s="13">
        <v>36.6</v>
      </c>
      <c r="H67" s="13">
        <v>33.700000000000003</v>
      </c>
      <c r="I67" s="13">
        <v>73.099999999999994</v>
      </c>
      <c r="J67" s="14">
        <v>93.2</v>
      </c>
      <c r="K67" s="22">
        <v>65.7</v>
      </c>
      <c r="L67" s="23">
        <v>67.150000000000006</v>
      </c>
      <c r="M67" s="22">
        <v>130.94999999999999</v>
      </c>
      <c r="N67" s="23">
        <v>120.9</v>
      </c>
      <c r="O67" s="25">
        <f t="shared" si="5"/>
        <v>13.14</v>
      </c>
      <c r="P67" s="25">
        <f t="shared" si="5"/>
        <v>13.430000000000001</v>
      </c>
      <c r="Q67" s="25">
        <f t="shared" si="5"/>
        <v>26.189999999999998</v>
      </c>
      <c r="R67" s="25">
        <f t="shared" si="5"/>
        <v>24.18</v>
      </c>
      <c r="S67" s="26">
        <f t="shared" si="4"/>
        <v>11.32668</v>
      </c>
      <c r="T67" s="26">
        <f t="shared" si="1"/>
        <v>11.57666</v>
      </c>
      <c r="U67" s="26">
        <f t="shared" si="3"/>
        <v>10.292669999999998</v>
      </c>
      <c r="V67" s="27">
        <f t="shared" si="2"/>
        <v>9.5027399999999993</v>
      </c>
    </row>
    <row r="68" spans="1:22" ht="16.5" thickTop="1" thickBot="1" x14ac:dyDescent="0.3">
      <c r="A68" s="11">
        <v>44984</v>
      </c>
      <c r="B68" s="9">
        <v>84</v>
      </c>
      <c r="C68" s="9">
        <v>84</v>
      </c>
      <c r="D68" s="9">
        <v>167.5</v>
      </c>
      <c r="E68" s="10">
        <v>167.5</v>
      </c>
      <c r="G68" s="13">
        <v>17.100000000000001</v>
      </c>
      <c r="H68" s="13">
        <v>18.2</v>
      </c>
      <c r="I68" s="13">
        <v>53.8</v>
      </c>
      <c r="J68" s="14">
        <v>50.9</v>
      </c>
      <c r="K68" s="22">
        <v>66.900000000000006</v>
      </c>
      <c r="L68" s="23">
        <v>65.8</v>
      </c>
      <c r="M68" s="22">
        <v>113.7</v>
      </c>
      <c r="N68" s="23">
        <v>116.6</v>
      </c>
      <c r="O68" s="25">
        <f t="shared" si="5"/>
        <v>13.38</v>
      </c>
      <c r="P68" s="25">
        <f t="shared" si="5"/>
        <v>13.16</v>
      </c>
      <c r="Q68" s="25">
        <f t="shared" si="5"/>
        <v>22.740000000000002</v>
      </c>
      <c r="R68" s="25">
        <f t="shared" si="5"/>
        <v>23.32</v>
      </c>
      <c r="S68" s="26">
        <f t="shared" si="4"/>
        <v>11.533560000000001</v>
      </c>
      <c r="T68" s="26">
        <f t="shared" si="1"/>
        <v>11.343920000000001</v>
      </c>
      <c r="U68" s="26">
        <f t="shared" si="3"/>
        <v>8.9368199999999991</v>
      </c>
      <c r="V68" s="27">
        <f t="shared" si="2"/>
        <v>9.1647599999999994</v>
      </c>
    </row>
    <row r="69" spans="1:22" ht="16.5" thickTop="1" thickBot="1" x14ac:dyDescent="0.3">
      <c r="A69" s="11">
        <v>44985</v>
      </c>
      <c r="B69" s="9">
        <v>84</v>
      </c>
      <c r="C69" s="9">
        <v>84</v>
      </c>
      <c r="D69" s="9">
        <v>167.5</v>
      </c>
      <c r="E69" s="10">
        <v>167.5</v>
      </c>
      <c r="G69" s="13">
        <v>17.2</v>
      </c>
      <c r="H69" s="13">
        <v>20</v>
      </c>
      <c r="I69" s="13">
        <v>68.2</v>
      </c>
      <c r="J69" s="14">
        <v>33.700000000000003</v>
      </c>
      <c r="K69" s="22">
        <v>66.8</v>
      </c>
      <c r="L69" s="23">
        <v>64</v>
      </c>
      <c r="M69" s="22">
        <v>99.3</v>
      </c>
      <c r="N69" s="23">
        <v>133.80000000000001</v>
      </c>
      <c r="O69" s="25">
        <f t="shared" si="5"/>
        <v>13.36</v>
      </c>
      <c r="P69" s="25">
        <f t="shared" si="5"/>
        <v>12.8</v>
      </c>
      <c r="Q69" s="25">
        <f t="shared" si="5"/>
        <v>19.86</v>
      </c>
      <c r="R69" s="25">
        <f t="shared" si="5"/>
        <v>26.76</v>
      </c>
      <c r="S69" s="26">
        <f t="shared" si="4"/>
        <v>11.516319999999999</v>
      </c>
      <c r="T69" s="26">
        <f t="shared" si="1"/>
        <v>11.0336</v>
      </c>
      <c r="U69" s="26">
        <f t="shared" si="3"/>
        <v>7.8049799999999987</v>
      </c>
      <c r="V69" s="27">
        <f t="shared" si="2"/>
        <v>10.516679999999999</v>
      </c>
    </row>
    <row r="70" spans="1:22" ht="16.5" thickTop="1" thickBot="1" x14ac:dyDescent="0.3">
      <c r="A70" s="11">
        <v>44986</v>
      </c>
      <c r="B70" s="9">
        <v>84</v>
      </c>
      <c r="C70" s="9">
        <v>84</v>
      </c>
      <c r="D70" s="9">
        <v>167.5</v>
      </c>
      <c r="E70" s="10">
        <v>167.5</v>
      </c>
      <c r="G70" s="13">
        <v>18.8</v>
      </c>
      <c r="H70" s="13">
        <v>16.2</v>
      </c>
      <c r="I70" s="13">
        <v>61.7</v>
      </c>
      <c r="J70" s="14">
        <v>35.799999999999997</v>
      </c>
      <c r="K70" s="22">
        <v>65.2</v>
      </c>
      <c r="L70" s="23">
        <v>67.8</v>
      </c>
      <c r="M70" s="22">
        <v>105.8</v>
      </c>
      <c r="N70" s="23">
        <v>131.69999999999999</v>
      </c>
      <c r="O70" s="25">
        <f t="shared" si="5"/>
        <v>13.040000000000001</v>
      </c>
      <c r="P70" s="25">
        <f t="shared" si="5"/>
        <v>13.559999999999999</v>
      </c>
      <c r="Q70" s="25">
        <f t="shared" si="5"/>
        <v>21.16</v>
      </c>
      <c r="R70" s="25">
        <f t="shared" si="5"/>
        <v>26.339999999999996</v>
      </c>
      <c r="S70" s="26">
        <f t="shared" si="4"/>
        <v>11.24048</v>
      </c>
      <c r="T70" s="26">
        <f t="shared" ref="T70:T92" si="6">P70*86.2%</f>
        <v>11.688719999999998</v>
      </c>
      <c r="U70" s="26">
        <f t="shared" si="3"/>
        <v>8.3158799999999999</v>
      </c>
      <c r="V70" s="27">
        <f t="shared" ref="V70:V92" si="7">R70*39.3%</f>
        <v>10.351619999999997</v>
      </c>
    </row>
    <row r="71" spans="1:22" ht="16.5" thickTop="1" thickBot="1" x14ac:dyDescent="0.3">
      <c r="A71" s="11">
        <v>44987</v>
      </c>
      <c r="B71" s="9">
        <v>84</v>
      </c>
      <c r="C71" s="9">
        <v>84</v>
      </c>
      <c r="D71" s="9">
        <v>167.5</v>
      </c>
      <c r="E71" s="10">
        <v>167.5</v>
      </c>
      <c r="G71" s="13">
        <v>19.8</v>
      </c>
      <c r="H71" s="13">
        <v>19.8</v>
      </c>
      <c r="I71" s="13">
        <v>45.3</v>
      </c>
      <c r="J71" s="14">
        <v>57.9</v>
      </c>
      <c r="K71" s="22">
        <v>64.2</v>
      </c>
      <c r="L71" s="23">
        <v>64.2</v>
      </c>
      <c r="M71" s="22">
        <v>122.2</v>
      </c>
      <c r="N71" s="23">
        <v>109.6</v>
      </c>
      <c r="O71" s="25">
        <f t="shared" si="5"/>
        <v>12.84</v>
      </c>
      <c r="P71" s="25">
        <f t="shared" si="5"/>
        <v>12.84</v>
      </c>
      <c r="Q71" s="25">
        <f t="shared" si="5"/>
        <v>24.44</v>
      </c>
      <c r="R71" s="25">
        <f t="shared" si="5"/>
        <v>21.919999999999998</v>
      </c>
      <c r="S71" s="26">
        <f t="shared" si="4"/>
        <v>11.06808</v>
      </c>
      <c r="T71" s="26">
        <f t="shared" si="6"/>
        <v>11.06808</v>
      </c>
      <c r="U71" s="26">
        <f t="shared" ref="U71:U92" si="8">Q71*39.3%</f>
        <v>9.6049199999999999</v>
      </c>
      <c r="V71" s="27">
        <f t="shared" si="7"/>
        <v>8.6145599999999991</v>
      </c>
    </row>
    <row r="72" spans="1:22" ht="16.5" thickTop="1" thickBot="1" x14ac:dyDescent="0.3">
      <c r="A72" s="11">
        <v>44988</v>
      </c>
      <c r="B72" s="9">
        <v>84</v>
      </c>
      <c r="C72" s="9">
        <v>84</v>
      </c>
      <c r="D72" s="9">
        <v>167.5</v>
      </c>
      <c r="E72" s="10">
        <v>167.5</v>
      </c>
      <c r="G72" s="13">
        <v>20</v>
      </c>
      <c r="H72" s="13">
        <v>18.3</v>
      </c>
      <c r="I72" s="13">
        <v>59</v>
      </c>
      <c r="J72" s="14">
        <v>31.7</v>
      </c>
      <c r="K72" s="22">
        <v>64</v>
      </c>
      <c r="L72" s="23">
        <v>65.7</v>
      </c>
      <c r="M72" s="22">
        <v>108.5</v>
      </c>
      <c r="N72" s="23">
        <v>135.80000000000001</v>
      </c>
      <c r="O72" s="25">
        <f t="shared" si="5"/>
        <v>12.8</v>
      </c>
      <c r="P72" s="25">
        <f t="shared" si="5"/>
        <v>13.14</v>
      </c>
      <c r="Q72" s="25">
        <f t="shared" si="5"/>
        <v>21.7</v>
      </c>
      <c r="R72" s="25">
        <f t="shared" si="5"/>
        <v>27.160000000000004</v>
      </c>
      <c r="S72" s="26">
        <f t="shared" ref="S72:S92" si="9">O72*86.2%</f>
        <v>11.0336</v>
      </c>
      <c r="T72" s="26">
        <f t="shared" si="6"/>
        <v>11.32668</v>
      </c>
      <c r="U72" s="26">
        <f t="shared" si="8"/>
        <v>8.5280999999999985</v>
      </c>
      <c r="V72" s="27">
        <f t="shared" si="7"/>
        <v>10.67388</v>
      </c>
    </row>
    <row r="73" spans="1:22" ht="16.5" thickTop="1" thickBot="1" x14ac:dyDescent="0.3">
      <c r="A73" s="11">
        <v>44989</v>
      </c>
      <c r="B73" s="9">
        <v>168</v>
      </c>
      <c r="C73" s="9">
        <v>168</v>
      </c>
      <c r="D73" s="9">
        <v>335</v>
      </c>
      <c r="E73" s="10">
        <v>335</v>
      </c>
      <c r="G73" s="13">
        <v>30</v>
      </c>
      <c r="H73" s="13">
        <v>15.4</v>
      </c>
      <c r="I73" s="13">
        <v>87.4</v>
      </c>
      <c r="J73" s="14">
        <v>61.8</v>
      </c>
      <c r="K73" s="22">
        <v>69</v>
      </c>
      <c r="L73" s="23">
        <v>76.3</v>
      </c>
      <c r="M73" s="22">
        <v>123.8</v>
      </c>
      <c r="N73" s="23">
        <v>136.6</v>
      </c>
      <c r="O73" s="25">
        <f t="shared" si="5"/>
        <v>13.8</v>
      </c>
      <c r="P73" s="25">
        <f t="shared" si="5"/>
        <v>15.26</v>
      </c>
      <c r="Q73" s="25">
        <f t="shared" si="5"/>
        <v>24.759999999999998</v>
      </c>
      <c r="R73" s="25">
        <f t="shared" si="5"/>
        <v>27.32</v>
      </c>
      <c r="S73" s="26">
        <f t="shared" si="9"/>
        <v>11.8956</v>
      </c>
      <c r="T73" s="26">
        <f t="shared" si="6"/>
        <v>13.154119999999999</v>
      </c>
      <c r="U73" s="26">
        <f t="shared" si="8"/>
        <v>9.7306799999999978</v>
      </c>
      <c r="V73" s="27">
        <f t="shared" si="7"/>
        <v>10.736759999999999</v>
      </c>
    </row>
    <row r="74" spans="1:22" ht="16.5" thickTop="1" thickBot="1" x14ac:dyDescent="0.3">
      <c r="A74" s="11">
        <v>44991</v>
      </c>
      <c r="B74" s="9">
        <v>84</v>
      </c>
      <c r="C74" s="9">
        <v>84</v>
      </c>
      <c r="D74" s="9">
        <v>167.5</v>
      </c>
      <c r="E74" s="10">
        <v>167.5</v>
      </c>
      <c r="G74" s="13">
        <v>8.6999999999999993</v>
      </c>
      <c r="H74" s="13">
        <v>20.399999999999999</v>
      </c>
      <c r="I74" s="13">
        <v>52.7</v>
      </c>
      <c r="J74" s="14">
        <v>34.4</v>
      </c>
      <c r="K74" s="22">
        <v>75.3</v>
      </c>
      <c r="L74" s="23">
        <v>63.6</v>
      </c>
      <c r="M74" s="22">
        <v>114.8</v>
      </c>
      <c r="N74" s="23">
        <v>133.1</v>
      </c>
      <c r="O74" s="25">
        <f t="shared" si="5"/>
        <v>15.059999999999999</v>
      </c>
      <c r="P74" s="25">
        <f t="shared" si="5"/>
        <v>12.72</v>
      </c>
      <c r="Q74" s="25">
        <f t="shared" si="5"/>
        <v>22.96</v>
      </c>
      <c r="R74" s="25">
        <f t="shared" si="5"/>
        <v>26.619999999999997</v>
      </c>
      <c r="S74" s="26">
        <f t="shared" si="9"/>
        <v>12.981719999999999</v>
      </c>
      <c r="T74" s="26">
        <f t="shared" si="6"/>
        <v>10.964640000000001</v>
      </c>
      <c r="U74" s="26">
        <f t="shared" si="8"/>
        <v>9.0232799999999997</v>
      </c>
      <c r="V74" s="27">
        <f t="shared" si="7"/>
        <v>10.461659999999998</v>
      </c>
    </row>
    <row r="75" spans="1:22" ht="16.5" thickTop="1" thickBot="1" x14ac:dyDescent="0.3">
      <c r="A75" s="11">
        <v>44992</v>
      </c>
      <c r="B75" s="9">
        <v>84</v>
      </c>
      <c r="C75" s="9">
        <v>84</v>
      </c>
      <c r="D75" s="9">
        <v>167.5</v>
      </c>
      <c r="E75" s="10">
        <v>167.5</v>
      </c>
      <c r="G75" s="13">
        <v>24.9</v>
      </c>
      <c r="H75" s="13">
        <v>14.3</v>
      </c>
      <c r="I75" s="13">
        <v>43.6</v>
      </c>
      <c r="J75" s="14">
        <v>24</v>
      </c>
      <c r="K75" s="22">
        <v>59.1</v>
      </c>
      <c r="L75" s="23">
        <v>69.7</v>
      </c>
      <c r="M75" s="22">
        <v>123.9</v>
      </c>
      <c r="N75" s="23">
        <v>143.5</v>
      </c>
      <c r="O75" s="25">
        <f t="shared" si="5"/>
        <v>11.82</v>
      </c>
      <c r="P75" s="25">
        <f t="shared" si="5"/>
        <v>13.940000000000001</v>
      </c>
      <c r="Q75" s="25">
        <f t="shared" si="5"/>
        <v>24.78</v>
      </c>
      <c r="R75" s="25">
        <f t="shared" si="5"/>
        <v>28.7</v>
      </c>
      <c r="S75" s="26">
        <f t="shared" si="9"/>
        <v>10.188840000000001</v>
      </c>
      <c r="T75" s="26">
        <f t="shared" si="6"/>
        <v>12.01628</v>
      </c>
      <c r="U75" s="26">
        <f t="shared" si="8"/>
        <v>9.7385399999999986</v>
      </c>
      <c r="V75" s="27">
        <f t="shared" si="7"/>
        <v>11.279099999999998</v>
      </c>
    </row>
    <row r="76" spans="1:22" ht="16.5" thickTop="1" thickBot="1" x14ac:dyDescent="0.3">
      <c r="A76" s="11">
        <v>44993</v>
      </c>
      <c r="B76" s="9">
        <v>84</v>
      </c>
      <c r="C76" s="9">
        <v>84</v>
      </c>
      <c r="D76" s="9">
        <v>167.5</v>
      </c>
      <c r="E76" s="10">
        <v>167.5</v>
      </c>
      <c r="G76" s="13">
        <v>23.8</v>
      </c>
      <c r="H76" s="13">
        <v>19.600000000000001</v>
      </c>
      <c r="I76" s="13">
        <v>26.2</v>
      </c>
      <c r="J76" s="14">
        <v>39.9</v>
      </c>
      <c r="K76" s="22">
        <v>60.2</v>
      </c>
      <c r="L76" s="23">
        <v>64.400000000000006</v>
      </c>
      <c r="M76" s="22">
        <v>141.30000000000001</v>
      </c>
      <c r="N76" s="23">
        <v>127.6</v>
      </c>
      <c r="O76" s="25">
        <f t="shared" si="5"/>
        <v>12.040000000000001</v>
      </c>
      <c r="P76" s="25">
        <f t="shared" si="5"/>
        <v>12.88</v>
      </c>
      <c r="Q76" s="25">
        <f t="shared" si="5"/>
        <v>28.26</v>
      </c>
      <c r="R76" s="25">
        <f t="shared" si="5"/>
        <v>25.52</v>
      </c>
      <c r="S76" s="26">
        <f t="shared" si="9"/>
        <v>10.378480000000001</v>
      </c>
      <c r="T76" s="26">
        <f t="shared" si="6"/>
        <v>11.10256</v>
      </c>
      <c r="U76" s="26">
        <f t="shared" si="8"/>
        <v>11.10618</v>
      </c>
      <c r="V76" s="27">
        <f t="shared" si="7"/>
        <v>10.029359999999999</v>
      </c>
    </row>
    <row r="77" spans="1:22" ht="16.5" thickTop="1" thickBot="1" x14ac:dyDescent="0.3">
      <c r="A77" s="11">
        <v>44994</v>
      </c>
      <c r="B77" s="9">
        <v>84</v>
      </c>
      <c r="C77" s="9">
        <v>84</v>
      </c>
      <c r="D77" s="9">
        <v>167.5</v>
      </c>
      <c r="E77" s="10">
        <v>167.5</v>
      </c>
      <c r="G77" s="13">
        <v>21.4</v>
      </c>
      <c r="H77" s="13">
        <v>8.5</v>
      </c>
      <c r="I77" s="13">
        <v>43.1</v>
      </c>
      <c r="J77" s="14">
        <v>24.3</v>
      </c>
      <c r="K77" s="22">
        <v>62.6</v>
      </c>
      <c r="L77" s="23">
        <v>75.5</v>
      </c>
      <c r="M77" s="22">
        <v>124.4</v>
      </c>
      <c r="N77" s="23">
        <v>143.19999999999999</v>
      </c>
      <c r="O77" s="25">
        <f t="shared" si="5"/>
        <v>12.52</v>
      </c>
      <c r="P77" s="25">
        <f t="shared" si="5"/>
        <v>15.1</v>
      </c>
      <c r="Q77" s="25">
        <f t="shared" si="5"/>
        <v>24.880000000000003</v>
      </c>
      <c r="R77" s="25">
        <f t="shared" si="5"/>
        <v>28.639999999999997</v>
      </c>
      <c r="S77" s="26">
        <f t="shared" si="9"/>
        <v>10.79224</v>
      </c>
      <c r="T77" s="26">
        <f t="shared" si="6"/>
        <v>13.0162</v>
      </c>
      <c r="U77" s="26">
        <f t="shared" si="8"/>
        <v>9.7778399999999994</v>
      </c>
      <c r="V77" s="27">
        <f t="shared" si="7"/>
        <v>11.255519999999997</v>
      </c>
    </row>
    <row r="78" spans="1:22" ht="16.5" thickTop="1" thickBot="1" x14ac:dyDescent="0.3">
      <c r="A78" s="11">
        <v>44995</v>
      </c>
      <c r="B78" s="9">
        <v>84</v>
      </c>
      <c r="C78" s="9">
        <v>84</v>
      </c>
      <c r="D78" s="9">
        <v>167.5</v>
      </c>
      <c r="E78" s="10">
        <v>167.5</v>
      </c>
      <c r="G78" s="13">
        <v>14.1</v>
      </c>
      <c r="H78" s="13">
        <v>13.4</v>
      </c>
      <c r="I78" s="13">
        <v>38.1</v>
      </c>
      <c r="J78" s="14">
        <v>29.1</v>
      </c>
      <c r="K78" s="22">
        <v>69.900000000000006</v>
      </c>
      <c r="L78" s="23">
        <v>70.599999999999994</v>
      </c>
      <c r="M78" s="22">
        <v>129.4</v>
      </c>
      <c r="N78" s="23">
        <v>138.4</v>
      </c>
      <c r="O78" s="25">
        <f t="shared" si="5"/>
        <v>13.98</v>
      </c>
      <c r="P78" s="25">
        <f t="shared" si="5"/>
        <v>14.12</v>
      </c>
      <c r="Q78" s="25">
        <f t="shared" si="5"/>
        <v>25.880000000000003</v>
      </c>
      <c r="R78" s="25">
        <f t="shared" si="5"/>
        <v>27.68</v>
      </c>
      <c r="S78" s="26">
        <f t="shared" si="9"/>
        <v>12.05076</v>
      </c>
      <c r="T78" s="26">
        <f t="shared" si="6"/>
        <v>12.171439999999999</v>
      </c>
      <c r="U78" s="26">
        <f t="shared" si="8"/>
        <v>10.17084</v>
      </c>
      <c r="V78" s="27">
        <f t="shared" si="7"/>
        <v>10.878239999999998</v>
      </c>
    </row>
    <row r="79" spans="1:22" ht="16.5" thickTop="1" thickBot="1" x14ac:dyDescent="0.3">
      <c r="A79" s="11">
        <v>44996</v>
      </c>
      <c r="B79" s="9">
        <v>168</v>
      </c>
      <c r="C79" s="9">
        <v>168</v>
      </c>
      <c r="D79" s="9">
        <v>335</v>
      </c>
      <c r="E79" s="10">
        <v>335</v>
      </c>
      <c r="G79" s="13">
        <v>52.7</v>
      </c>
      <c r="H79" s="13">
        <v>31.3</v>
      </c>
      <c r="I79" s="13">
        <v>58.1</v>
      </c>
      <c r="J79" s="14">
        <v>52.1</v>
      </c>
      <c r="K79" s="22">
        <v>57.65</v>
      </c>
      <c r="L79" s="23">
        <v>68.349999999999994</v>
      </c>
      <c r="M79" s="22">
        <v>138.44999999999999</v>
      </c>
      <c r="N79" s="23">
        <v>141.44999999999999</v>
      </c>
      <c r="O79" s="25">
        <f t="shared" si="5"/>
        <v>11.53</v>
      </c>
      <c r="P79" s="25">
        <f t="shared" si="5"/>
        <v>13.669999999999998</v>
      </c>
      <c r="Q79" s="25">
        <f t="shared" si="5"/>
        <v>27.689999999999998</v>
      </c>
      <c r="R79" s="25">
        <f t="shared" si="5"/>
        <v>28.29</v>
      </c>
      <c r="S79" s="26">
        <f t="shared" si="9"/>
        <v>9.93886</v>
      </c>
      <c r="T79" s="26">
        <f t="shared" si="6"/>
        <v>11.783539999999999</v>
      </c>
      <c r="U79" s="26">
        <f t="shared" si="8"/>
        <v>10.882169999999999</v>
      </c>
      <c r="V79" s="27">
        <f t="shared" si="7"/>
        <v>11.117969999999998</v>
      </c>
    </row>
    <row r="80" spans="1:22" ht="16.5" thickTop="1" thickBot="1" x14ac:dyDescent="0.3">
      <c r="A80" s="11">
        <v>44998</v>
      </c>
      <c r="B80" s="9">
        <v>84</v>
      </c>
      <c r="C80" s="9">
        <v>84</v>
      </c>
      <c r="D80" s="9">
        <v>167.5</v>
      </c>
      <c r="E80" s="10">
        <v>167.5</v>
      </c>
      <c r="G80" s="13">
        <v>23.2</v>
      </c>
      <c r="H80" s="13">
        <v>13.3</v>
      </c>
      <c r="I80" s="13">
        <v>56.2</v>
      </c>
      <c r="J80" s="14">
        <v>42.4</v>
      </c>
      <c r="K80" s="22">
        <v>60.8</v>
      </c>
      <c r="L80" s="23">
        <v>70.7</v>
      </c>
      <c r="M80" s="22">
        <v>111.3</v>
      </c>
      <c r="N80" s="23">
        <v>125.1</v>
      </c>
      <c r="O80" s="25">
        <f t="shared" si="5"/>
        <v>12.16</v>
      </c>
      <c r="P80" s="25">
        <f t="shared" si="5"/>
        <v>14.14</v>
      </c>
      <c r="Q80" s="25">
        <f t="shared" si="5"/>
        <v>22.259999999999998</v>
      </c>
      <c r="R80" s="25">
        <f t="shared" si="5"/>
        <v>25.02</v>
      </c>
      <c r="S80" s="26">
        <f t="shared" si="9"/>
        <v>10.481920000000001</v>
      </c>
      <c r="T80" s="26">
        <f t="shared" si="6"/>
        <v>12.18868</v>
      </c>
      <c r="U80" s="26">
        <f t="shared" si="8"/>
        <v>8.7481799999999978</v>
      </c>
      <c r="V80" s="27">
        <f t="shared" si="7"/>
        <v>9.8328599999999984</v>
      </c>
    </row>
    <row r="81" spans="1:22" ht="16.5" thickTop="1" thickBot="1" x14ac:dyDescent="0.3">
      <c r="A81" s="11">
        <v>44999</v>
      </c>
      <c r="B81" s="9">
        <v>84</v>
      </c>
      <c r="C81" s="9">
        <v>84</v>
      </c>
      <c r="D81" s="9">
        <v>167.5</v>
      </c>
      <c r="E81" s="10">
        <v>167.5</v>
      </c>
      <c r="G81" s="13">
        <v>19.7</v>
      </c>
      <c r="H81" s="13">
        <v>23.3</v>
      </c>
      <c r="I81" s="13">
        <v>31.3</v>
      </c>
      <c r="J81" s="14">
        <v>26.3</v>
      </c>
      <c r="K81" s="22">
        <v>64.3</v>
      </c>
      <c r="L81" s="23">
        <v>60.7</v>
      </c>
      <c r="M81" s="22">
        <v>136.19999999999999</v>
      </c>
      <c r="N81" s="23">
        <v>141.19999999999999</v>
      </c>
      <c r="O81" s="25">
        <f t="shared" si="5"/>
        <v>12.86</v>
      </c>
      <c r="P81" s="25">
        <f t="shared" si="5"/>
        <v>12.14</v>
      </c>
      <c r="Q81" s="25">
        <f t="shared" si="5"/>
        <v>27.24</v>
      </c>
      <c r="R81" s="25">
        <f t="shared" si="5"/>
        <v>28.24</v>
      </c>
      <c r="S81" s="26">
        <f t="shared" si="9"/>
        <v>11.085319999999999</v>
      </c>
      <c r="T81" s="26">
        <f t="shared" si="6"/>
        <v>10.46468</v>
      </c>
      <c r="U81" s="26">
        <f t="shared" si="8"/>
        <v>10.705319999999999</v>
      </c>
      <c r="V81" s="27">
        <f t="shared" si="7"/>
        <v>11.098319999999998</v>
      </c>
    </row>
    <row r="82" spans="1:22" ht="16.5" thickTop="1" thickBot="1" x14ac:dyDescent="0.3">
      <c r="A82" s="11">
        <v>45000</v>
      </c>
      <c r="B82" s="9">
        <v>84</v>
      </c>
      <c r="C82" s="9">
        <v>84</v>
      </c>
      <c r="D82" s="9">
        <v>167.5</v>
      </c>
      <c r="E82" s="10">
        <v>167.5</v>
      </c>
      <c r="G82" s="13">
        <v>11.7</v>
      </c>
      <c r="H82" s="13">
        <v>23.4</v>
      </c>
      <c r="I82" s="13">
        <v>23.7</v>
      </c>
      <c r="J82" s="14">
        <v>21.1</v>
      </c>
      <c r="K82" s="22">
        <v>72.3</v>
      </c>
      <c r="L82" s="23">
        <v>60.6</v>
      </c>
      <c r="M82" s="22">
        <v>143.80000000000001</v>
      </c>
      <c r="N82" s="23">
        <v>146.4</v>
      </c>
      <c r="O82" s="25">
        <f t="shared" si="5"/>
        <v>14.459999999999999</v>
      </c>
      <c r="P82" s="25">
        <f t="shared" si="5"/>
        <v>12.120000000000001</v>
      </c>
      <c r="Q82" s="25">
        <f t="shared" si="5"/>
        <v>28.76</v>
      </c>
      <c r="R82" s="25">
        <f t="shared" si="5"/>
        <v>29.28</v>
      </c>
      <c r="S82" s="26">
        <f t="shared" si="9"/>
        <v>12.464519999999998</v>
      </c>
      <c r="T82" s="26">
        <f t="shared" si="6"/>
        <v>10.44744</v>
      </c>
      <c r="U82" s="26">
        <f t="shared" si="8"/>
        <v>11.302679999999999</v>
      </c>
      <c r="V82" s="27">
        <f t="shared" si="7"/>
        <v>11.50704</v>
      </c>
    </row>
    <row r="83" spans="1:22" ht="16.5" thickTop="1" thickBot="1" x14ac:dyDescent="0.3">
      <c r="A83" s="11">
        <v>45001</v>
      </c>
      <c r="B83" s="9">
        <v>84</v>
      </c>
      <c r="C83" s="9">
        <v>84</v>
      </c>
      <c r="D83" s="9">
        <v>167.5</v>
      </c>
      <c r="E83" s="10">
        <v>167.5</v>
      </c>
      <c r="G83" s="13">
        <v>18.899999999999999</v>
      </c>
      <c r="H83" s="13">
        <v>23.6</v>
      </c>
      <c r="I83" s="13">
        <v>34.200000000000003</v>
      </c>
      <c r="J83" s="14">
        <v>27</v>
      </c>
      <c r="K83" s="22">
        <v>65.099999999999994</v>
      </c>
      <c r="L83" s="23">
        <v>60.4</v>
      </c>
      <c r="M83" s="22">
        <v>133.30000000000001</v>
      </c>
      <c r="N83" s="23">
        <v>140.5</v>
      </c>
      <c r="O83" s="25">
        <f t="shared" si="5"/>
        <v>13.02</v>
      </c>
      <c r="P83" s="25">
        <f t="shared" si="5"/>
        <v>12.08</v>
      </c>
      <c r="Q83" s="25">
        <f t="shared" si="5"/>
        <v>26.660000000000004</v>
      </c>
      <c r="R83" s="25">
        <f t="shared" si="5"/>
        <v>28.1</v>
      </c>
      <c r="S83" s="26">
        <f t="shared" si="9"/>
        <v>11.223239999999999</v>
      </c>
      <c r="T83" s="26">
        <f t="shared" si="6"/>
        <v>10.41296</v>
      </c>
      <c r="U83" s="26">
        <f t="shared" si="8"/>
        <v>10.47738</v>
      </c>
      <c r="V83" s="27">
        <f t="shared" si="7"/>
        <v>11.043299999999999</v>
      </c>
    </row>
    <row r="84" spans="1:22" ht="16.5" thickTop="1" thickBot="1" x14ac:dyDescent="0.3">
      <c r="A84" s="11">
        <v>45002</v>
      </c>
      <c r="B84" s="9">
        <v>84</v>
      </c>
      <c r="C84" s="9">
        <v>84</v>
      </c>
      <c r="D84" s="9">
        <v>167.5</v>
      </c>
      <c r="E84" s="10">
        <v>167.5</v>
      </c>
      <c r="G84" s="13">
        <v>18.7</v>
      </c>
      <c r="H84" s="13">
        <v>25.9</v>
      </c>
      <c r="I84" s="13">
        <v>29.3</v>
      </c>
      <c r="J84" s="14">
        <v>31.2</v>
      </c>
      <c r="K84" s="22">
        <v>65.3</v>
      </c>
      <c r="L84" s="23">
        <v>58.1</v>
      </c>
      <c r="M84" s="22">
        <v>138.19999999999999</v>
      </c>
      <c r="N84" s="23">
        <v>136.30000000000001</v>
      </c>
      <c r="O84" s="25">
        <f t="shared" si="5"/>
        <v>13.059999999999999</v>
      </c>
      <c r="P84" s="25">
        <f t="shared" si="5"/>
        <v>11.620000000000001</v>
      </c>
      <c r="Q84" s="25">
        <f t="shared" si="5"/>
        <v>27.639999999999997</v>
      </c>
      <c r="R84" s="25">
        <f t="shared" ref="R84:R92" si="10">N84/5</f>
        <v>27.26</v>
      </c>
      <c r="S84" s="26">
        <f t="shared" si="9"/>
        <v>11.257719999999999</v>
      </c>
      <c r="T84" s="26">
        <f t="shared" si="6"/>
        <v>10.016440000000001</v>
      </c>
      <c r="U84" s="26">
        <f t="shared" si="8"/>
        <v>10.862519999999998</v>
      </c>
      <c r="V84" s="27">
        <f t="shared" si="7"/>
        <v>10.713179999999999</v>
      </c>
    </row>
    <row r="85" spans="1:22" ht="16.5" thickTop="1" thickBot="1" x14ac:dyDescent="0.3">
      <c r="A85" s="11">
        <v>45003</v>
      </c>
      <c r="B85" s="9">
        <v>84</v>
      </c>
      <c r="C85" s="9">
        <v>84</v>
      </c>
      <c r="D85" s="9">
        <v>167.5</v>
      </c>
      <c r="E85" s="10">
        <v>167.5</v>
      </c>
      <c r="G85" s="13">
        <v>18.600000000000001</v>
      </c>
      <c r="H85" s="13">
        <v>20.399999999999999</v>
      </c>
      <c r="I85" s="13">
        <v>44.2</v>
      </c>
      <c r="J85" s="14">
        <v>33.799999999999997</v>
      </c>
      <c r="K85" s="22">
        <v>65.400000000000006</v>
      </c>
      <c r="L85" s="23">
        <v>63.6</v>
      </c>
      <c r="M85" s="22">
        <v>123.3</v>
      </c>
      <c r="N85" s="23">
        <v>133.69999999999999</v>
      </c>
      <c r="O85" s="25">
        <f t="shared" ref="O85:Q92" si="11">K85/5</f>
        <v>13.080000000000002</v>
      </c>
      <c r="P85" s="25">
        <f t="shared" si="11"/>
        <v>12.72</v>
      </c>
      <c r="Q85" s="25">
        <f t="shared" si="11"/>
        <v>24.66</v>
      </c>
      <c r="R85" s="25">
        <f t="shared" si="10"/>
        <v>26.74</v>
      </c>
      <c r="S85" s="26">
        <f t="shared" si="9"/>
        <v>11.274960000000002</v>
      </c>
      <c r="T85" s="26">
        <f t="shared" si="6"/>
        <v>10.964640000000001</v>
      </c>
      <c r="U85" s="26">
        <f t="shared" si="8"/>
        <v>9.6913799999999988</v>
      </c>
      <c r="V85" s="27">
        <f t="shared" si="7"/>
        <v>10.508819999999998</v>
      </c>
    </row>
    <row r="86" spans="1:22" ht="16.5" thickTop="1" thickBot="1" x14ac:dyDescent="0.3">
      <c r="A86" s="11">
        <v>45004</v>
      </c>
      <c r="B86" s="9">
        <v>84</v>
      </c>
      <c r="C86" s="9">
        <v>84</v>
      </c>
      <c r="D86" s="9">
        <v>167.5</v>
      </c>
      <c r="E86" s="10">
        <v>167.5</v>
      </c>
      <c r="G86" s="13">
        <v>17.7</v>
      </c>
      <c r="H86" s="13">
        <v>17.2</v>
      </c>
      <c r="I86" s="13">
        <v>24.3</v>
      </c>
      <c r="J86" s="14">
        <v>23</v>
      </c>
      <c r="K86" s="22">
        <v>66.3</v>
      </c>
      <c r="L86" s="23">
        <v>66.8</v>
      </c>
      <c r="M86" s="22">
        <v>143.19999999999999</v>
      </c>
      <c r="N86" s="23">
        <v>144.5</v>
      </c>
      <c r="O86" s="25">
        <f t="shared" si="11"/>
        <v>13.26</v>
      </c>
      <c r="P86" s="25">
        <f t="shared" si="11"/>
        <v>13.36</v>
      </c>
      <c r="Q86" s="25">
        <f t="shared" si="11"/>
        <v>28.639999999999997</v>
      </c>
      <c r="R86" s="25">
        <f t="shared" si="10"/>
        <v>28.9</v>
      </c>
      <c r="S86" s="26">
        <f t="shared" si="9"/>
        <v>11.430120000000001</v>
      </c>
      <c r="T86" s="26">
        <f t="shared" si="6"/>
        <v>11.516319999999999</v>
      </c>
      <c r="U86" s="26">
        <f t="shared" si="8"/>
        <v>11.255519999999997</v>
      </c>
      <c r="V86" s="27">
        <f t="shared" si="7"/>
        <v>11.357699999999998</v>
      </c>
    </row>
    <row r="87" spans="1:22" ht="16.5" thickTop="1" thickBot="1" x14ac:dyDescent="0.3">
      <c r="A87" s="11">
        <v>45005</v>
      </c>
      <c r="B87" s="9">
        <v>84</v>
      </c>
      <c r="C87" s="9">
        <v>84</v>
      </c>
      <c r="D87" s="9">
        <v>167.5</v>
      </c>
      <c r="E87" s="10">
        <v>167.5</v>
      </c>
      <c r="G87" s="13">
        <v>16.2</v>
      </c>
      <c r="H87" s="13">
        <v>18.100000000000001</v>
      </c>
      <c r="I87" s="13">
        <v>22</v>
      </c>
      <c r="J87" s="14">
        <v>44.5</v>
      </c>
      <c r="K87" s="22">
        <v>67.8</v>
      </c>
      <c r="L87" s="23">
        <v>65.900000000000006</v>
      </c>
      <c r="M87" s="22">
        <v>145.5</v>
      </c>
      <c r="N87" s="23">
        <v>123</v>
      </c>
      <c r="O87" s="25">
        <f t="shared" si="11"/>
        <v>13.559999999999999</v>
      </c>
      <c r="P87" s="25">
        <f t="shared" si="11"/>
        <v>13.180000000000001</v>
      </c>
      <c r="Q87" s="25">
        <f t="shared" si="11"/>
        <v>29.1</v>
      </c>
      <c r="R87" s="25">
        <f t="shared" si="10"/>
        <v>24.6</v>
      </c>
      <c r="S87" s="26">
        <f t="shared" si="9"/>
        <v>11.688719999999998</v>
      </c>
      <c r="T87" s="26">
        <f t="shared" si="6"/>
        <v>11.361160000000002</v>
      </c>
      <c r="U87" s="26">
        <f t="shared" si="8"/>
        <v>11.436299999999999</v>
      </c>
      <c r="V87" s="27">
        <f t="shared" si="7"/>
        <v>9.6677999999999997</v>
      </c>
    </row>
    <row r="88" spans="1:22" ht="16.5" thickTop="1" thickBot="1" x14ac:dyDescent="0.3">
      <c r="A88" s="11">
        <v>45006</v>
      </c>
      <c r="B88" s="9">
        <v>84</v>
      </c>
      <c r="C88" s="9">
        <v>84</v>
      </c>
      <c r="D88" s="9">
        <v>167.5</v>
      </c>
      <c r="E88" s="10">
        <v>167.5</v>
      </c>
      <c r="G88" s="13">
        <v>19.5</v>
      </c>
      <c r="H88" s="13">
        <v>16.399999999999999</v>
      </c>
      <c r="I88" s="13">
        <v>27.4</v>
      </c>
      <c r="J88" s="14">
        <v>41.2</v>
      </c>
      <c r="K88" s="22">
        <v>64.5</v>
      </c>
      <c r="L88" s="23">
        <v>67.599999999999994</v>
      </c>
      <c r="M88" s="22">
        <v>140.1</v>
      </c>
      <c r="N88" s="23">
        <v>126.3</v>
      </c>
      <c r="O88" s="25">
        <f t="shared" si="11"/>
        <v>12.9</v>
      </c>
      <c r="P88" s="25">
        <f t="shared" si="11"/>
        <v>13.52</v>
      </c>
      <c r="Q88" s="25">
        <f t="shared" si="11"/>
        <v>28.02</v>
      </c>
      <c r="R88" s="25">
        <f t="shared" si="10"/>
        <v>25.259999999999998</v>
      </c>
      <c r="S88" s="26">
        <f t="shared" si="9"/>
        <v>11.1198</v>
      </c>
      <c r="T88" s="26">
        <f t="shared" si="6"/>
        <v>11.65424</v>
      </c>
      <c r="U88" s="26">
        <f t="shared" si="8"/>
        <v>11.011859999999999</v>
      </c>
      <c r="V88" s="27">
        <f t="shared" si="7"/>
        <v>9.9271799999999981</v>
      </c>
    </row>
    <row r="89" spans="1:22" ht="16.5" thickTop="1" thickBot="1" x14ac:dyDescent="0.3">
      <c r="A89" s="11">
        <v>45007</v>
      </c>
      <c r="B89" s="9">
        <v>84</v>
      </c>
      <c r="C89" s="9">
        <v>84</v>
      </c>
      <c r="D89" s="9">
        <v>167.5</v>
      </c>
      <c r="E89" s="10">
        <v>167.5</v>
      </c>
      <c r="G89" s="13">
        <v>23.6</v>
      </c>
      <c r="H89" s="13">
        <v>15.1</v>
      </c>
      <c r="I89" s="13">
        <v>35.700000000000003</v>
      </c>
      <c r="J89" s="14">
        <v>59.2</v>
      </c>
      <c r="K89" s="22">
        <v>60.4</v>
      </c>
      <c r="L89" s="23">
        <v>68.900000000000006</v>
      </c>
      <c r="M89" s="22">
        <v>131.80000000000001</v>
      </c>
      <c r="N89" s="23">
        <v>108.3</v>
      </c>
      <c r="O89" s="25">
        <f t="shared" si="11"/>
        <v>12.08</v>
      </c>
      <c r="P89" s="25">
        <f t="shared" si="11"/>
        <v>13.780000000000001</v>
      </c>
      <c r="Q89" s="25">
        <f t="shared" si="11"/>
        <v>26.360000000000003</v>
      </c>
      <c r="R89" s="25">
        <f t="shared" si="10"/>
        <v>21.66</v>
      </c>
      <c r="S89" s="26">
        <f t="shared" si="9"/>
        <v>10.41296</v>
      </c>
      <c r="T89" s="26">
        <f t="shared" si="6"/>
        <v>11.878360000000001</v>
      </c>
      <c r="U89" s="26">
        <f t="shared" si="8"/>
        <v>10.35948</v>
      </c>
      <c r="V89" s="27">
        <f t="shared" si="7"/>
        <v>8.5123799999999985</v>
      </c>
    </row>
    <row r="90" spans="1:22" ht="16.5" thickTop="1" thickBot="1" x14ac:dyDescent="0.3">
      <c r="A90" s="11">
        <v>45008</v>
      </c>
      <c r="B90" s="9">
        <v>84</v>
      </c>
      <c r="C90" s="9">
        <v>84</v>
      </c>
      <c r="D90" s="9">
        <v>167.5</v>
      </c>
      <c r="E90" s="10">
        <v>167.5</v>
      </c>
      <c r="G90" s="13">
        <v>18.2</v>
      </c>
      <c r="H90" s="13">
        <v>18.600000000000001</v>
      </c>
      <c r="I90" s="13">
        <v>16.3</v>
      </c>
      <c r="J90" s="14">
        <v>43.4</v>
      </c>
      <c r="K90" s="22">
        <v>65.8</v>
      </c>
      <c r="L90" s="23">
        <v>65.400000000000006</v>
      </c>
      <c r="M90" s="22">
        <v>151.19999999999999</v>
      </c>
      <c r="N90" s="23">
        <v>124.1</v>
      </c>
      <c r="O90" s="25">
        <f t="shared" si="11"/>
        <v>13.16</v>
      </c>
      <c r="P90" s="25">
        <f t="shared" si="11"/>
        <v>13.080000000000002</v>
      </c>
      <c r="Q90" s="25">
        <f t="shared" si="11"/>
        <v>30.24</v>
      </c>
      <c r="R90" s="25">
        <f t="shared" si="10"/>
        <v>24.82</v>
      </c>
      <c r="S90" s="26">
        <f t="shared" si="9"/>
        <v>11.343920000000001</v>
      </c>
      <c r="T90" s="26">
        <f t="shared" si="6"/>
        <v>11.274960000000002</v>
      </c>
      <c r="U90" s="26">
        <f t="shared" si="8"/>
        <v>11.884319999999999</v>
      </c>
      <c r="V90" s="27">
        <f t="shared" si="7"/>
        <v>9.7542599999999986</v>
      </c>
    </row>
    <row r="91" spans="1:22" ht="16.5" thickTop="1" thickBot="1" x14ac:dyDescent="0.3">
      <c r="A91" s="11">
        <v>45009</v>
      </c>
      <c r="B91" s="9">
        <v>84</v>
      </c>
      <c r="C91" s="9">
        <v>84</v>
      </c>
      <c r="D91" s="9">
        <v>167.5</v>
      </c>
      <c r="E91" s="10">
        <v>167.5</v>
      </c>
      <c r="G91" s="13">
        <v>19.899999999999999</v>
      </c>
      <c r="H91" s="13">
        <v>11</v>
      </c>
      <c r="I91" s="13">
        <v>30.9</v>
      </c>
      <c r="J91" s="14">
        <v>60.4</v>
      </c>
      <c r="K91" s="22">
        <v>64.099999999999994</v>
      </c>
      <c r="L91" s="23">
        <v>73</v>
      </c>
      <c r="M91" s="22">
        <v>136.6</v>
      </c>
      <c r="N91" s="23">
        <v>107.1</v>
      </c>
      <c r="O91" s="25">
        <f t="shared" si="11"/>
        <v>12.819999999999999</v>
      </c>
      <c r="P91" s="25">
        <f t="shared" si="11"/>
        <v>14.6</v>
      </c>
      <c r="Q91" s="25">
        <f t="shared" si="11"/>
        <v>27.32</v>
      </c>
      <c r="R91" s="25">
        <f t="shared" si="10"/>
        <v>21.419999999999998</v>
      </c>
      <c r="S91" s="26">
        <f t="shared" si="9"/>
        <v>11.050839999999999</v>
      </c>
      <c r="T91" s="26">
        <f t="shared" si="6"/>
        <v>12.5852</v>
      </c>
      <c r="U91" s="26">
        <f t="shared" si="8"/>
        <v>10.736759999999999</v>
      </c>
      <c r="V91" s="27">
        <f t="shared" si="7"/>
        <v>8.4180599999999988</v>
      </c>
    </row>
    <row r="92" spans="1:22" ht="15.75" thickTop="1" x14ac:dyDescent="0.25">
      <c r="A92" s="11">
        <v>45010</v>
      </c>
      <c r="B92" s="9">
        <v>168</v>
      </c>
      <c r="C92" s="9">
        <v>168</v>
      </c>
      <c r="D92" s="9">
        <v>335</v>
      </c>
      <c r="E92" s="10">
        <v>335</v>
      </c>
      <c r="G92" s="15">
        <v>38.1</v>
      </c>
      <c r="H92" s="15">
        <v>29.4</v>
      </c>
      <c r="I92" s="15">
        <v>49.9</v>
      </c>
      <c r="J92" s="16">
        <v>89</v>
      </c>
      <c r="K92" s="22">
        <v>64.95</v>
      </c>
      <c r="L92" s="23">
        <v>69.3</v>
      </c>
      <c r="M92" s="22">
        <v>142.55000000000001</v>
      </c>
      <c r="N92" s="23">
        <v>123</v>
      </c>
      <c r="O92" s="25">
        <f t="shared" si="11"/>
        <v>12.99</v>
      </c>
      <c r="P92" s="25">
        <f t="shared" si="11"/>
        <v>13.86</v>
      </c>
      <c r="Q92" s="25">
        <f t="shared" si="11"/>
        <v>28.51</v>
      </c>
      <c r="R92" s="25">
        <f t="shared" si="10"/>
        <v>24.6</v>
      </c>
      <c r="S92" s="26">
        <f t="shared" si="9"/>
        <v>11.197380000000001</v>
      </c>
      <c r="T92" s="26">
        <f t="shared" si="6"/>
        <v>11.947319999999999</v>
      </c>
      <c r="U92" s="26">
        <f t="shared" si="8"/>
        <v>11.20443</v>
      </c>
      <c r="V92" s="27">
        <f t="shared" si="7"/>
        <v>9.6677999999999997</v>
      </c>
    </row>
    <row r="93" spans="1:22" x14ac:dyDescent="0.25">
      <c r="S93" s="29"/>
    </row>
    <row r="94" spans="1:22" x14ac:dyDescent="0.25">
      <c r="F94" s="5" t="s">
        <v>42</v>
      </c>
      <c r="O94" s="30">
        <f>AVERAGE(O14:O92)</f>
        <v>12.069341772151898</v>
      </c>
      <c r="P94" s="30">
        <f t="shared" ref="P94:V94" si="12">AVERAGE(P14:P92)</f>
        <v>12.497443037974682</v>
      </c>
      <c r="Q94" s="30">
        <f t="shared" si="12"/>
        <v>22.861012658227846</v>
      </c>
      <c r="R94" s="30">
        <f t="shared" si="12"/>
        <v>23.868607594936716</v>
      </c>
      <c r="S94" s="30">
        <f>AVERAGE(S14:S92)</f>
        <v>10.403772607594931</v>
      </c>
      <c r="T94" s="30">
        <f>AVERAGE(T14:T92)</f>
        <v>10.772795898734179</v>
      </c>
      <c r="U94" s="30">
        <f t="shared" si="12"/>
        <v>8.9843779746835448</v>
      </c>
      <c r="V94" s="30">
        <f t="shared" si="12"/>
        <v>9.3803627848101279</v>
      </c>
    </row>
    <row r="96" spans="1:22" x14ac:dyDescent="0.25">
      <c r="F96" s="5" t="s">
        <v>43</v>
      </c>
      <c r="K96" s="9">
        <f>SUM(K14:K92)</f>
        <v>4767.3900000000003</v>
      </c>
      <c r="L96" s="9">
        <f t="shared" ref="L96:N96" si="13">SUM(L14:L92)</f>
        <v>4936.4900000000007</v>
      </c>
      <c r="M96" s="9">
        <f t="shared" si="13"/>
        <v>9030.0999999999985</v>
      </c>
      <c r="N96" s="9">
        <f t="shared" si="13"/>
        <v>9428.0999999999985</v>
      </c>
      <c r="O96" s="35">
        <f>SUM(O14:O92)</f>
        <v>953.47799999999995</v>
      </c>
      <c r="P96" s="35">
        <f t="shared" ref="P96:V96" si="14">SUM(P14:P92)</f>
        <v>987.29799999999989</v>
      </c>
      <c r="Q96" s="35">
        <f t="shared" si="14"/>
        <v>1806.02</v>
      </c>
      <c r="R96" s="35">
        <f t="shared" si="14"/>
        <v>1885.6200000000006</v>
      </c>
      <c r="S96" s="35">
        <f t="shared" si="14"/>
        <v>821.89803599999948</v>
      </c>
      <c r="T96" s="35">
        <f t="shared" si="14"/>
        <v>851.05087600000013</v>
      </c>
      <c r="U96" s="35">
        <f t="shared" si="14"/>
        <v>709.76585999999998</v>
      </c>
      <c r="V96" s="35">
        <f t="shared" si="14"/>
        <v>741.04866000000015</v>
      </c>
    </row>
    <row r="99" spans="11:11" x14ac:dyDescent="0.25">
      <c r="K99" s="9"/>
    </row>
  </sheetData>
  <mergeCells count="11">
    <mergeCell ref="B3:E3"/>
    <mergeCell ref="G2:J3"/>
    <mergeCell ref="K3:L3"/>
    <mergeCell ref="M3:N3"/>
    <mergeCell ref="K2:N2"/>
    <mergeCell ref="O2:R2"/>
    <mergeCell ref="O3:P3"/>
    <mergeCell ref="Q3:R3"/>
    <mergeCell ref="S2:V2"/>
    <mergeCell ref="S3:T3"/>
    <mergeCell ref="U3:V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1"/>
  <sheetViews>
    <sheetView workbookViewId="0">
      <selection activeCell="H9" sqref="H9"/>
    </sheetView>
  </sheetViews>
  <sheetFormatPr defaultRowHeight="15" x14ac:dyDescent="0.25"/>
  <cols>
    <col min="2" max="2" width="8.28515625" bestFit="1" customWidth="1"/>
    <col min="4" max="4" width="16" bestFit="1" customWidth="1"/>
    <col min="5" max="5" width="9.85546875" bestFit="1" customWidth="1"/>
  </cols>
  <sheetData>
    <row r="1" spans="1:5" s="40" customFormat="1" x14ac:dyDescent="0.25">
      <c r="A1" s="76" t="s">
        <v>49</v>
      </c>
      <c r="B1" s="76" t="s">
        <v>29</v>
      </c>
      <c r="C1" s="76" t="s">
        <v>30</v>
      </c>
      <c r="D1" s="76" t="s">
        <v>26</v>
      </c>
      <c r="E1" s="76" t="s">
        <v>27</v>
      </c>
    </row>
    <row r="2" spans="1:5" x14ac:dyDescent="0.25">
      <c r="A2">
        <v>1157</v>
      </c>
      <c r="B2" t="s">
        <v>0</v>
      </c>
      <c r="C2">
        <v>2</v>
      </c>
      <c r="D2" s="28">
        <v>22.861012658227846</v>
      </c>
      <c r="E2" s="28">
        <v>8.9843779746835448</v>
      </c>
    </row>
    <row r="3" spans="1:5" x14ac:dyDescent="0.25">
      <c r="A3">
        <v>3806</v>
      </c>
      <c r="B3" t="s">
        <v>0</v>
      </c>
      <c r="C3">
        <v>2</v>
      </c>
      <c r="D3" s="28">
        <v>22.861012658227846</v>
      </c>
      <c r="E3" s="28">
        <v>8.9843779746835448</v>
      </c>
    </row>
    <row r="4" spans="1:5" x14ac:dyDescent="0.25">
      <c r="A4">
        <v>9868</v>
      </c>
      <c r="B4" t="s">
        <v>0</v>
      </c>
      <c r="C4">
        <v>2</v>
      </c>
      <c r="D4" s="28">
        <v>22.861012658227846</v>
      </c>
      <c r="E4" s="28">
        <v>8.9843779746835448</v>
      </c>
    </row>
    <row r="5" spans="1:5" x14ac:dyDescent="0.25">
      <c r="A5">
        <v>3644</v>
      </c>
      <c r="B5" t="s">
        <v>0</v>
      </c>
      <c r="C5">
        <v>2</v>
      </c>
      <c r="D5" s="28">
        <v>22.861012658227846</v>
      </c>
      <c r="E5" s="28">
        <v>8.9843779746835448</v>
      </c>
    </row>
    <row r="6" spans="1:5" x14ac:dyDescent="0.25">
      <c r="A6">
        <v>3912</v>
      </c>
      <c r="B6" t="s">
        <v>0</v>
      </c>
      <c r="C6">
        <v>2</v>
      </c>
      <c r="D6" s="28">
        <v>22.861012658227846</v>
      </c>
      <c r="E6" s="28">
        <v>8.9843779746835448</v>
      </c>
    </row>
    <row r="7" spans="1:5" x14ac:dyDescent="0.25">
      <c r="A7">
        <v>2562</v>
      </c>
      <c r="B7" t="s">
        <v>21</v>
      </c>
      <c r="C7">
        <v>3</v>
      </c>
      <c r="D7" s="28">
        <v>12.069341772151898</v>
      </c>
      <c r="E7" s="30">
        <v>10.403772607594931</v>
      </c>
    </row>
    <row r="8" spans="1:5" x14ac:dyDescent="0.25">
      <c r="A8">
        <v>1180</v>
      </c>
      <c r="B8" t="s">
        <v>21</v>
      </c>
      <c r="C8">
        <v>3</v>
      </c>
      <c r="D8" s="28">
        <v>12.069341772151898</v>
      </c>
      <c r="E8" s="30">
        <v>10.403772607594931</v>
      </c>
    </row>
    <row r="9" spans="1:5" x14ac:dyDescent="0.25">
      <c r="A9">
        <v>7885</v>
      </c>
      <c r="B9" t="s">
        <v>21</v>
      </c>
      <c r="C9">
        <v>3</v>
      </c>
      <c r="D9" s="28">
        <v>12.069341772151898</v>
      </c>
      <c r="E9" s="30">
        <v>10.403772607594931</v>
      </c>
    </row>
    <row r="10" spans="1:5" x14ac:dyDescent="0.25">
      <c r="A10">
        <v>3649</v>
      </c>
      <c r="B10" t="s">
        <v>21</v>
      </c>
      <c r="C10">
        <v>3</v>
      </c>
      <c r="D10" s="28">
        <v>12.069341772151898</v>
      </c>
      <c r="E10" s="30">
        <v>10.403772607594931</v>
      </c>
    </row>
    <row r="11" spans="1:5" x14ac:dyDescent="0.25">
      <c r="A11">
        <v>3894</v>
      </c>
      <c r="B11" t="s">
        <v>21</v>
      </c>
      <c r="C11">
        <v>3</v>
      </c>
      <c r="D11" s="28">
        <v>12.069341772151898</v>
      </c>
      <c r="E11" s="30">
        <v>10.403772607594931</v>
      </c>
    </row>
    <row r="12" spans="1:5" x14ac:dyDescent="0.25">
      <c r="A12">
        <v>1177</v>
      </c>
      <c r="B12" t="s">
        <v>21</v>
      </c>
      <c r="C12">
        <v>4</v>
      </c>
      <c r="D12" s="28">
        <v>12.497443037974682</v>
      </c>
      <c r="E12" s="28">
        <v>10.772795898734179</v>
      </c>
    </row>
    <row r="13" spans="1:5" x14ac:dyDescent="0.25">
      <c r="A13">
        <v>6505</v>
      </c>
      <c r="B13" t="s">
        <v>21</v>
      </c>
      <c r="C13">
        <v>4</v>
      </c>
      <c r="D13" s="28">
        <v>12.497443037974682</v>
      </c>
      <c r="E13" s="28">
        <v>10.772795898734179</v>
      </c>
    </row>
    <row r="14" spans="1:5" x14ac:dyDescent="0.25">
      <c r="A14">
        <v>3896</v>
      </c>
      <c r="B14" t="s">
        <v>21</v>
      </c>
      <c r="C14">
        <v>4</v>
      </c>
      <c r="D14" s="28">
        <v>12.497443037974682</v>
      </c>
      <c r="E14" s="28">
        <v>10.772795898734179</v>
      </c>
    </row>
    <row r="15" spans="1:5" x14ac:dyDescent="0.25">
      <c r="A15">
        <v>1183</v>
      </c>
      <c r="B15" t="s">
        <v>21</v>
      </c>
      <c r="C15">
        <v>4</v>
      </c>
      <c r="D15" s="28">
        <v>12.497443037974682</v>
      </c>
      <c r="E15" s="28">
        <v>10.772795898734179</v>
      </c>
    </row>
    <row r="16" spans="1:5" x14ac:dyDescent="0.25">
      <c r="A16">
        <v>2927</v>
      </c>
      <c r="B16" t="s">
        <v>21</v>
      </c>
      <c r="C16">
        <v>4</v>
      </c>
      <c r="D16" s="28">
        <v>12.497443037974682</v>
      </c>
      <c r="E16" s="28">
        <v>10.772795898734179</v>
      </c>
    </row>
    <row r="17" spans="1:5" x14ac:dyDescent="0.25">
      <c r="A17">
        <v>4130</v>
      </c>
      <c r="B17" t="s">
        <v>0</v>
      </c>
      <c r="C17">
        <v>5</v>
      </c>
      <c r="D17" s="28">
        <v>23.868607594936716</v>
      </c>
      <c r="E17" s="28">
        <v>9.3803627848101279</v>
      </c>
    </row>
    <row r="18" spans="1:5" x14ac:dyDescent="0.25">
      <c r="A18">
        <v>3883</v>
      </c>
      <c r="B18" t="s">
        <v>0</v>
      </c>
      <c r="C18">
        <v>5</v>
      </c>
      <c r="D18" s="28">
        <v>23.868607594936716</v>
      </c>
      <c r="E18" s="28">
        <v>9.3803627848101279</v>
      </c>
    </row>
    <row r="19" spans="1:5" x14ac:dyDescent="0.25">
      <c r="A19">
        <v>3651</v>
      </c>
      <c r="B19" t="s">
        <v>0</v>
      </c>
      <c r="C19">
        <v>5</v>
      </c>
      <c r="D19" s="28">
        <v>23.868607594936716</v>
      </c>
      <c r="E19" s="28">
        <v>9.3803627848101279</v>
      </c>
    </row>
    <row r="20" spans="1:5" x14ac:dyDescent="0.25">
      <c r="A20">
        <v>8890</v>
      </c>
      <c r="B20" t="s">
        <v>0</v>
      </c>
      <c r="C20">
        <v>5</v>
      </c>
      <c r="D20" s="28">
        <v>23.868607594936716</v>
      </c>
      <c r="E20" s="28">
        <v>9.3803627848101279</v>
      </c>
    </row>
    <row r="21" spans="1:5" x14ac:dyDescent="0.25">
      <c r="A21">
        <v>3831</v>
      </c>
      <c r="B21" t="s">
        <v>0</v>
      </c>
      <c r="C21">
        <v>5</v>
      </c>
      <c r="D21" s="28">
        <v>23.868607594936716</v>
      </c>
      <c r="E21" s="28">
        <v>9.3803627848101279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D60FC-241E-44B6-B89E-DEB3C6B25798}">
  <dimension ref="A1:K1387"/>
  <sheetViews>
    <sheetView topLeftCell="W1" workbookViewId="0">
      <selection activeCell="AD20" sqref="AD20"/>
    </sheetView>
  </sheetViews>
  <sheetFormatPr defaultRowHeight="15" x14ac:dyDescent="0.25"/>
  <cols>
    <col min="3" max="4" width="15.85546875" bestFit="1" customWidth="1"/>
    <col min="5" max="5" width="10.42578125" bestFit="1" customWidth="1"/>
    <col min="6" max="7" width="17.85546875" bestFit="1" customWidth="1"/>
    <col min="9" max="9" width="11.85546875" bestFit="1" customWidth="1"/>
    <col min="10" max="11" width="17.42578125" bestFit="1" customWidth="1"/>
  </cols>
  <sheetData>
    <row r="1" spans="1:11" s="40" customFormat="1" x14ac:dyDescent="0.25">
      <c r="A1" s="79" t="s">
        <v>29</v>
      </c>
      <c r="B1" s="79" t="s">
        <v>30</v>
      </c>
      <c r="C1" s="80" t="s">
        <v>57</v>
      </c>
      <c r="D1" s="80" t="s">
        <v>58</v>
      </c>
      <c r="E1" s="80" t="s">
        <v>59</v>
      </c>
      <c r="F1" s="80" t="s">
        <v>60</v>
      </c>
      <c r="G1" s="80" t="s">
        <v>61</v>
      </c>
      <c r="H1" s="80" t="s">
        <v>62</v>
      </c>
      <c r="I1" s="80" t="s">
        <v>63</v>
      </c>
      <c r="J1" s="80" t="s">
        <v>64</v>
      </c>
      <c r="K1" s="80" t="s">
        <v>65</v>
      </c>
    </row>
    <row r="2" spans="1:11" x14ac:dyDescent="0.25">
      <c r="A2" t="s">
        <v>0</v>
      </c>
      <c r="B2">
        <f>VLOOKUP(C2,'[2]Ensaio 1'!$A$2:$F$28,6,FALSE)</f>
        <v>2</v>
      </c>
      <c r="C2" s="36">
        <v>960000003516311</v>
      </c>
      <c r="D2" s="36">
        <v>960000003516311</v>
      </c>
      <c r="E2" s="1">
        <f t="shared" ref="E2:E65" si="0">ROUNDDOWN(LEFT(F2,10),0)</f>
        <v>44918</v>
      </c>
      <c r="F2" s="51">
        <v>44918.033333333296</v>
      </c>
      <c r="G2" s="51">
        <v>44918.036689814799</v>
      </c>
      <c r="H2" s="52">
        <v>3.0439814814809999E-3</v>
      </c>
      <c r="I2">
        <v>0.80000001192092896</v>
      </c>
      <c r="J2">
        <v>6501.6323689828996</v>
      </c>
      <c r="K2">
        <v>145.49529232317599</v>
      </c>
    </row>
    <row r="3" spans="1:11" x14ac:dyDescent="0.25">
      <c r="A3" t="s">
        <v>0</v>
      </c>
      <c r="B3">
        <f>VLOOKUP(C3,'[2]Ensaio 1'!$A$2:$F$28,6,FALSE)</f>
        <v>2</v>
      </c>
      <c r="C3" s="36">
        <v>960000003688457</v>
      </c>
      <c r="D3" s="36">
        <v>960000003688457</v>
      </c>
      <c r="E3" s="1">
        <f t="shared" si="0"/>
        <v>44918</v>
      </c>
      <c r="F3" s="51">
        <v>44918.0378009259</v>
      </c>
      <c r="G3" s="51">
        <v>44918.041840277801</v>
      </c>
      <c r="H3" s="52">
        <v>2.638888888889E-3</v>
      </c>
      <c r="I3">
        <v>0.90722221136093095</v>
      </c>
      <c r="J3">
        <v>6315.3370123957602</v>
      </c>
      <c r="K3">
        <v>111.81356666632099</v>
      </c>
    </row>
    <row r="4" spans="1:11" x14ac:dyDescent="0.25">
      <c r="A4" t="s">
        <v>0</v>
      </c>
      <c r="B4">
        <f>VLOOKUP(C4,'[2]Ensaio 1'!$A$2:$F$28,6,FALSE)</f>
        <v>2</v>
      </c>
      <c r="C4" s="36">
        <v>900248002085907</v>
      </c>
      <c r="D4" s="36">
        <v>900248002085907</v>
      </c>
      <c r="E4" s="1">
        <f t="shared" si="0"/>
        <v>44918</v>
      </c>
      <c r="F4" s="51">
        <v>44918.0469212963</v>
      </c>
      <c r="G4" s="51">
        <v>44918.052696759303</v>
      </c>
      <c r="H4" s="52">
        <v>4.270833333333E-3</v>
      </c>
      <c r="I4">
        <v>1.1261111497879031</v>
      </c>
      <c r="J4">
        <v>7763.0195076896998</v>
      </c>
      <c r="K4">
        <v>133.88378397668299</v>
      </c>
    </row>
    <row r="5" spans="1:11" x14ac:dyDescent="0.25">
      <c r="A5" t="s">
        <v>0</v>
      </c>
      <c r="B5">
        <f>VLOOKUP(C5,'[2]Ensaio 1'!$A$2:$F$28,6,FALSE)</f>
        <v>2</v>
      </c>
      <c r="C5" s="36">
        <v>900248002084301</v>
      </c>
      <c r="D5" s="36">
        <v>900248002084301</v>
      </c>
      <c r="E5" s="1">
        <f t="shared" si="0"/>
        <v>44918</v>
      </c>
      <c r="F5" s="51">
        <v>44918.0553587963</v>
      </c>
      <c r="G5" s="51">
        <v>44918.061979166698</v>
      </c>
      <c r="H5" s="52">
        <v>3.8194444444439998E-3</v>
      </c>
      <c r="I5">
        <v>1.3286111354827881</v>
      </c>
      <c r="J5">
        <v>8595.1197456532009</v>
      </c>
      <c r="K5">
        <v>158.90889754272499</v>
      </c>
    </row>
    <row r="6" spans="1:11" x14ac:dyDescent="0.25">
      <c r="A6" t="s">
        <v>0</v>
      </c>
      <c r="B6">
        <f>VLOOKUP(C6,'[2]Ensaio 1'!$A$2:$F$28,6,FALSE)</f>
        <v>2</v>
      </c>
      <c r="C6" s="36">
        <v>900248002085907</v>
      </c>
      <c r="D6" s="36">
        <v>900248002085907</v>
      </c>
      <c r="E6" s="1">
        <f t="shared" si="0"/>
        <v>44918</v>
      </c>
      <c r="F6" s="51">
        <v>44918.275196759299</v>
      </c>
      <c r="G6" s="51">
        <v>44918.279097222199</v>
      </c>
      <c r="H6" s="52">
        <v>3.4837962962959998E-3</v>
      </c>
      <c r="I6">
        <v>6.6047220230102539</v>
      </c>
      <c r="J6">
        <v>6530.3346947634</v>
      </c>
      <c r="K6">
        <v>145.77575968775199</v>
      </c>
    </row>
    <row r="7" spans="1:11" x14ac:dyDescent="0.25">
      <c r="A7" t="s">
        <v>0</v>
      </c>
      <c r="B7">
        <f>VLOOKUP(C7,'[2]Ensaio 1'!$A$2:$F$28,6,FALSE)</f>
        <v>2</v>
      </c>
      <c r="C7" s="36">
        <v>960000003516311</v>
      </c>
      <c r="D7" s="36">
        <v>960000003516311</v>
      </c>
      <c r="E7" s="1">
        <f t="shared" si="0"/>
        <v>44918</v>
      </c>
      <c r="F7" s="51">
        <v>44918.280219907399</v>
      </c>
      <c r="G7" s="51">
        <v>44918.283773148098</v>
      </c>
      <c r="H7" s="52">
        <v>3.2986111111110001E-3</v>
      </c>
      <c r="I7">
        <v>6.7252779006958008</v>
      </c>
      <c r="J7">
        <v>6289.3703350885098</v>
      </c>
      <c r="K7">
        <v>108.227690577267</v>
      </c>
    </row>
    <row r="8" spans="1:11" x14ac:dyDescent="0.25">
      <c r="A8" t="s">
        <v>0</v>
      </c>
      <c r="B8">
        <f>VLOOKUP(C8,'[2]Ensaio 1'!$A$2:$F$28,6,FALSE)</f>
        <v>2</v>
      </c>
      <c r="C8" s="36">
        <v>900248002084301</v>
      </c>
      <c r="D8" s="36">
        <v>900248002084301</v>
      </c>
      <c r="E8" s="1">
        <f t="shared" si="0"/>
        <v>44918</v>
      </c>
      <c r="F8" s="51">
        <v>44918.307986111096</v>
      </c>
      <c r="G8" s="51">
        <v>44918.3115972222</v>
      </c>
      <c r="H8" s="52">
        <v>2.8935185185190002E-3</v>
      </c>
      <c r="I8">
        <v>7.3916668891906738</v>
      </c>
      <c r="J8">
        <v>8256.0927905013796</v>
      </c>
      <c r="K8">
        <v>165.692554229687</v>
      </c>
    </row>
    <row r="9" spans="1:11" x14ac:dyDescent="0.25">
      <c r="A9" t="s">
        <v>0</v>
      </c>
      <c r="B9">
        <f>VLOOKUP(C9,'[2]Ensaio 1'!$A$2:$F$28,6,FALSE)</f>
        <v>2</v>
      </c>
      <c r="C9" s="36">
        <v>900248002084301</v>
      </c>
      <c r="D9" s="36">
        <v>900248002084301</v>
      </c>
      <c r="E9" s="1">
        <f t="shared" si="0"/>
        <v>44918</v>
      </c>
      <c r="F9" s="51">
        <v>44918.522858796299</v>
      </c>
      <c r="G9" s="51">
        <v>44918.527245370402</v>
      </c>
      <c r="H9" s="52">
        <v>3.1134259259259999E-3</v>
      </c>
      <c r="I9">
        <v>12.548610687255859</v>
      </c>
      <c r="J9">
        <v>7448.2241739370502</v>
      </c>
      <c r="K9">
        <v>119.44802839411</v>
      </c>
    </row>
    <row r="10" spans="1:11" x14ac:dyDescent="0.25">
      <c r="A10" t="s">
        <v>0</v>
      </c>
      <c r="B10">
        <f>VLOOKUP(C10,'[2]Ensaio 1'!$A$2:$F$28,6,FALSE)</f>
        <v>2</v>
      </c>
      <c r="C10" s="36">
        <v>900248002085907</v>
      </c>
      <c r="D10" s="36">
        <v>900248002085907</v>
      </c>
      <c r="E10" s="1">
        <f t="shared" si="0"/>
        <v>44918</v>
      </c>
      <c r="F10" s="51">
        <v>44918.528692129599</v>
      </c>
      <c r="G10" s="51">
        <v>44918.533668981501</v>
      </c>
      <c r="H10" s="52">
        <v>2.6620370370370001E-3</v>
      </c>
      <c r="I10">
        <v>12.688611030578613</v>
      </c>
      <c r="J10">
        <v>6347.3345355074398</v>
      </c>
      <c r="K10">
        <v>78.840990356875295</v>
      </c>
    </row>
    <row r="11" spans="1:11" x14ac:dyDescent="0.25">
      <c r="A11" t="s">
        <v>0</v>
      </c>
      <c r="B11">
        <f>VLOOKUP(C11,'[2]Ensaio 1'!$A$2:$F$28,6,FALSE)</f>
        <v>2</v>
      </c>
      <c r="C11" s="36">
        <v>900248002085907</v>
      </c>
      <c r="D11" s="36">
        <v>900248002085907</v>
      </c>
      <c r="E11" s="1">
        <f t="shared" si="0"/>
        <v>44918</v>
      </c>
      <c r="F11" s="51">
        <v>44918.789293981499</v>
      </c>
      <c r="G11" s="51">
        <v>44918.793645833299</v>
      </c>
      <c r="H11" s="52">
        <v>3.3101851851849999E-3</v>
      </c>
      <c r="I11">
        <v>18.943056106567383</v>
      </c>
      <c r="J11">
        <v>7533.5619401285803</v>
      </c>
      <c r="K11">
        <v>198.591411257902</v>
      </c>
    </row>
    <row r="12" spans="1:11" x14ac:dyDescent="0.25">
      <c r="A12" t="s">
        <v>0</v>
      </c>
      <c r="B12">
        <f>VLOOKUP(C12,'[2]Ensaio 1'!$A$2:$F$28,6,FALSE)</f>
        <v>2</v>
      </c>
      <c r="C12" s="36">
        <v>960000003516311</v>
      </c>
      <c r="D12" s="36">
        <v>960000003516311</v>
      </c>
      <c r="E12" s="1">
        <f t="shared" si="0"/>
        <v>44918</v>
      </c>
      <c r="F12" s="51">
        <v>44918.846342592602</v>
      </c>
      <c r="G12" s="51">
        <v>44918.849166666703</v>
      </c>
      <c r="H12" s="52">
        <v>2.743055555556E-3</v>
      </c>
      <c r="I12">
        <v>20.312221527099609</v>
      </c>
      <c r="J12">
        <v>7734.8126143908603</v>
      </c>
      <c r="K12">
        <v>162.603754867942</v>
      </c>
    </row>
    <row r="13" spans="1:11" x14ac:dyDescent="0.25">
      <c r="A13" t="s">
        <v>0</v>
      </c>
      <c r="B13">
        <f>VLOOKUP(C13,'[2]Ensaio 1'!$A$2:$F$28,6,FALSE)</f>
        <v>2</v>
      </c>
      <c r="C13" s="36">
        <v>960000003688457</v>
      </c>
      <c r="D13" s="36">
        <v>960000003688457</v>
      </c>
      <c r="E13" s="1">
        <f t="shared" si="0"/>
        <v>44919</v>
      </c>
      <c r="F13" s="51">
        <v>44919.0255555556</v>
      </c>
      <c r="G13" s="51">
        <v>44919.029074074097</v>
      </c>
      <c r="H13" s="52">
        <v>2.6620370370370001E-3</v>
      </c>
      <c r="I13">
        <v>0.61333334445953402</v>
      </c>
      <c r="J13">
        <v>6106.8917783473998</v>
      </c>
      <c r="K13">
        <v>158.922854943039</v>
      </c>
    </row>
    <row r="14" spans="1:11" x14ac:dyDescent="0.25">
      <c r="A14" t="s">
        <v>0</v>
      </c>
      <c r="B14">
        <f>VLOOKUP(C14,'[2]Ensaio 1'!$A$2:$F$28,6,FALSE)</f>
        <v>2</v>
      </c>
      <c r="C14" s="36">
        <v>960000003516311</v>
      </c>
      <c r="D14" s="36">
        <v>960000003516311</v>
      </c>
      <c r="E14" s="1">
        <f t="shared" si="0"/>
        <v>44919</v>
      </c>
      <c r="F14" s="51">
        <v>44919.250694444403</v>
      </c>
      <c r="G14" s="51">
        <v>44919.253333333298</v>
      </c>
      <c r="H14" s="52">
        <v>2.5925925925930002E-3</v>
      </c>
      <c r="I14">
        <v>6.0166668891906738</v>
      </c>
      <c r="J14">
        <v>7465.8412459665496</v>
      </c>
      <c r="K14">
        <v>160.224346127432</v>
      </c>
    </row>
    <row r="15" spans="1:11" x14ac:dyDescent="0.25">
      <c r="A15" t="s">
        <v>0</v>
      </c>
      <c r="B15">
        <f>VLOOKUP(C15,'[2]Ensaio 1'!$A$2:$F$28,6,FALSE)</f>
        <v>2</v>
      </c>
      <c r="C15" s="36">
        <v>900248002085907</v>
      </c>
      <c r="D15" s="36">
        <v>900248002085907</v>
      </c>
      <c r="E15" s="1">
        <f t="shared" si="0"/>
        <v>44919</v>
      </c>
      <c r="F15" s="51">
        <v>44919.297708333303</v>
      </c>
      <c r="G15" s="51">
        <v>44919.301134259302</v>
      </c>
      <c r="H15" s="52">
        <v>3.240740740741E-3</v>
      </c>
      <c r="I15">
        <v>7.1449999809265137</v>
      </c>
      <c r="J15">
        <v>7483.88644054203</v>
      </c>
      <c r="K15">
        <v>162.355628216535</v>
      </c>
    </row>
    <row r="16" spans="1:11" x14ac:dyDescent="0.25">
      <c r="A16" t="s">
        <v>0</v>
      </c>
      <c r="B16">
        <f>VLOOKUP(C16,'[2]Ensaio 1'!$A$2:$F$28,6,FALSE)</f>
        <v>2</v>
      </c>
      <c r="C16" s="36">
        <v>960000003516311</v>
      </c>
      <c r="D16" s="36">
        <v>960000003516311</v>
      </c>
      <c r="E16" s="1">
        <f t="shared" si="0"/>
        <v>44919</v>
      </c>
      <c r="F16" s="51">
        <v>44919.468275462998</v>
      </c>
      <c r="G16" s="51">
        <v>44919.4778240741</v>
      </c>
      <c r="H16" s="52">
        <v>3.472222222222E-3</v>
      </c>
      <c r="I16">
        <v>11.238611221313477</v>
      </c>
      <c r="J16">
        <v>6684.0581670157599</v>
      </c>
      <c r="K16">
        <v>155.12410225126999</v>
      </c>
    </row>
    <row r="17" spans="1:11" x14ac:dyDescent="0.25">
      <c r="A17" t="s">
        <v>0</v>
      </c>
      <c r="B17">
        <f>VLOOKUP(C17,'[2]Ensaio 1'!$A$2:$F$28,6,FALSE)</f>
        <v>2</v>
      </c>
      <c r="C17" s="36">
        <v>900248002085907</v>
      </c>
      <c r="D17" s="36">
        <v>900248002085907</v>
      </c>
      <c r="E17" s="1">
        <f t="shared" si="0"/>
        <v>44919</v>
      </c>
      <c r="F17" s="51">
        <v>44919.509502314802</v>
      </c>
      <c r="G17" s="51">
        <v>44919.512314814798</v>
      </c>
      <c r="H17" s="52">
        <v>2.7546296296299998E-3</v>
      </c>
      <c r="I17">
        <v>12.228055953979492</v>
      </c>
      <c r="J17">
        <v>7314.60205574061</v>
      </c>
      <c r="K17">
        <v>194.13669310566999</v>
      </c>
    </row>
    <row r="18" spans="1:11" x14ac:dyDescent="0.25">
      <c r="A18" t="s">
        <v>0</v>
      </c>
      <c r="B18">
        <f>VLOOKUP(C18,'[2]Ensaio 1'!$A$2:$F$28,6,FALSE)</f>
        <v>2</v>
      </c>
      <c r="C18" s="36">
        <v>900248002084301</v>
      </c>
      <c r="D18" s="36">
        <v>900248002084301</v>
      </c>
      <c r="E18" s="1">
        <f t="shared" si="0"/>
        <v>44919</v>
      </c>
      <c r="F18" s="51">
        <v>44919.626030092601</v>
      </c>
      <c r="G18" s="51">
        <v>44919.629224536999</v>
      </c>
      <c r="H18" s="52">
        <v>2.372685185185E-3</v>
      </c>
      <c r="I18">
        <v>15.024722099304199</v>
      </c>
      <c r="J18">
        <v>7877.1537472260397</v>
      </c>
      <c r="K18">
        <v>140.36990689937099</v>
      </c>
    </row>
    <row r="19" spans="1:11" x14ac:dyDescent="0.25">
      <c r="A19" t="s">
        <v>0</v>
      </c>
      <c r="B19">
        <f>VLOOKUP(C19,'[2]Ensaio 1'!$A$2:$F$28,6,FALSE)</f>
        <v>2</v>
      </c>
      <c r="C19" s="36">
        <v>960000003516311</v>
      </c>
      <c r="D19" s="36">
        <v>960000003516311</v>
      </c>
      <c r="E19" s="1">
        <f t="shared" si="0"/>
        <v>44919</v>
      </c>
      <c r="F19" s="51">
        <v>44919.629837963003</v>
      </c>
      <c r="G19" s="51">
        <v>44919.632025462997</v>
      </c>
      <c r="H19" s="52">
        <v>2.1296296296300001E-3</v>
      </c>
      <c r="I19">
        <v>15.116110801696777</v>
      </c>
      <c r="J19">
        <v>5730.4606885840703</v>
      </c>
      <c r="K19">
        <v>126.390955815529</v>
      </c>
    </row>
    <row r="20" spans="1:11" x14ac:dyDescent="0.25">
      <c r="A20" t="s">
        <v>0</v>
      </c>
      <c r="B20">
        <f>VLOOKUP(C20,'[2]Ensaio 1'!$A$2:$F$28,6,FALSE)</f>
        <v>2</v>
      </c>
      <c r="C20" s="36">
        <v>960000003688457</v>
      </c>
      <c r="D20" s="36">
        <v>960000003688457</v>
      </c>
      <c r="E20" s="1">
        <f t="shared" si="0"/>
        <v>44919</v>
      </c>
      <c r="F20" s="51">
        <v>44919.677986111099</v>
      </c>
      <c r="G20" s="51">
        <v>44919.685358796298</v>
      </c>
      <c r="H20" s="52">
        <v>4.3171296296300003E-3</v>
      </c>
      <c r="I20">
        <v>16.27166748046875</v>
      </c>
      <c r="J20">
        <v>6264.3726516721199</v>
      </c>
      <c r="K20">
        <v>144.93322980477001</v>
      </c>
    </row>
    <row r="21" spans="1:11" x14ac:dyDescent="0.25">
      <c r="A21" t="s">
        <v>0</v>
      </c>
      <c r="B21">
        <f>VLOOKUP(C21,'[2]Ensaio 1'!$A$2:$F$28,6,FALSE)</f>
        <v>2</v>
      </c>
      <c r="C21" s="36">
        <v>960000003516311</v>
      </c>
      <c r="D21" s="36">
        <v>960000003516311</v>
      </c>
      <c r="E21" s="1">
        <f t="shared" si="0"/>
        <v>44919</v>
      </c>
      <c r="F21" s="51">
        <v>44919.824074074102</v>
      </c>
      <c r="G21" s="51">
        <v>44919.8273611111</v>
      </c>
      <c r="H21" s="52">
        <v>3.2291666666670001E-3</v>
      </c>
      <c r="I21">
        <v>19.777778625488281</v>
      </c>
      <c r="J21">
        <v>7123.7820902875401</v>
      </c>
      <c r="K21">
        <v>166.919291261811</v>
      </c>
    </row>
    <row r="22" spans="1:11" x14ac:dyDescent="0.25">
      <c r="A22" t="s">
        <v>0</v>
      </c>
      <c r="B22">
        <f>VLOOKUP(C22,'[2]Ensaio 1'!$A$2:$F$28,6,FALSE)</f>
        <v>2</v>
      </c>
      <c r="C22" s="36">
        <v>960000003688457</v>
      </c>
      <c r="D22" s="36">
        <v>960000003688457</v>
      </c>
      <c r="E22" s="1">
        <f t="shared" si="0"/>
        <v>44919</v>
      </c>
      <c r="F22" s="51">
        <v>44919.937106481499</v>
      </c>
      <c r="G22" s="51">
        <v>44919.943113425899</v>
      </c>
      <c r="H22" s="52">
        <v>3.2291666666670001E-3</v>
      </c>
      <c r="I22">
        <v>22.490554809570313</v>
      </c>
      <c r="J22">
        <v>6159.1810041301296</v>
      </c>
      <c r="K22">
        <v>121.858716330294</v>
      </c>
    </row>
    <row r="23" spans="1:11" x14ac:dyDescent="0.25">
      <c r="A23" t="s">
        <v>0</v>
      </c>
      <c r="B23">
        <f>VLOOKUP(C23,'[2]Ensaio 1'!$A$2:$F$28,6,FALSE)</f>
        <v>2</v>
      </c>
      <c r="C23" s="36">
        <v>900248002084301</v>
      </c>
      <c r="D23" s="36">
        <v>900248002084301</v>
      </c>
      <c r="E23" s="1">
        <f t="shared" si="0"/>
        <v>44920</v>
      </c>
      <c r="F23" s="51">
        <v>44920.033449074101</v>
      </c>
      <c r="G23" s="51">
        <v>44920.038287037001</v>
      </c>
      <c r="H23" s="52">
        <v>3.668981481481E-3</v>
      </c>
      <c r="I23">
        <v>0.80277776718139604</v>
      </c>
      <c r="J23">
        <v>7069.9369657449697</v>
      </c>
      <c r="K23">
        <v>131.32857296086399</v>
      </c>
    </row>
    <row r="24" spans="1:11" x14ac:dyDescent="0.25">
      <c r="A24" t="s">
        <v>0</v>
      </c>
      <c r="B24">
        <f>VLOOKUP(C24,'[2]Ensaio 1'!$A$2:$F$28,6,FALSE)</f>
        <v>2</v>
      </c>
      <c r="C24" s="36">
        <v>900248002085907</v>
      </c>
      <c r="D24" s="36">
        <v>900248002085907</v>
      </c>
      <c r="E24" s="1">
        <f t="shared" si="0"/>
        <v>44920</v>
      </c>
      <c r="F24" s="51">
        <v>44920.051562499997</v>
      </c>
      <c r="G24" s="51">
        <v>44920.055034722202</v>
      </c>
      <c r="H24" s="52">
        <v>3.3680555555560001E-3</v>
      </c>
      <c r="I24">
        <v>1.237499952316284</v>
      </c>
      <c r="J24">
        <v>6918.30982806866</v>
      </c>
      <c r="K24">
        <v>168.05073961365599</v>
      </c>
    </row>
    <row r="25" spans="1:11" x14ac:dyDescent="0.25">
      <c r="A25" t="s">
        <v>0</v>
      </c>
      <c r="B25">
        <f>VLOOKUP(C25,'[2]Ensaio 1'!$A$2:$F$28,6,FALSE)</f>
        <v>2</v>
      </c>
      <c r="C25" s="36">
        <v>960000003516311</v>
      </c>
      <c r="D25" s="36">
        <v>960000003516311</v>
      </c>
      <c r="E25" s="1">
        <f t="shared" si="0"/>
        <v>44920</v>
      </c>
      <c r="F25" s="51">
        <v>44920.068715277797</v>
      </c>
      <c r="G25" s="51">
        <v>44920.072037037004</v>
      </c>
      <c r="H25" s="52">
        <v>3.2523148148149998E-3</v>
      </c>
      <c r="I25">
        <v>1.6491667032241819</v>
      </c>
      <c r="J25">
        <v>6473.8904786754802</v>
      </c>
      <c r="K25">
        <v>165.74266633033</v>
      </c>
    </row>
    <row r="26" spans="1:11" x14ac:dyDescent="0.25">
      <c r="A26" t="s">
        <v>0</v>
      </c>
      <c r="B26">
        <f>VLOOKUP(C26,'[2]Ensaio 1'!$A$2:$F$28,6,FALSE)</f>
        <v>2</v>
      </c>
      <c r="C26" s="36">
        <v>960000003688457</v>
      </c>
      <c r="D26" s="36">
        <v>960000003688457</v>
      </c>
      <c r="E26" s="1">
        <f t="shared" si="0"/>
        <v>44920</v>
      </c>
      <c r="F26" s="51">
        <v>44920.093182870398</v>
      </c>
      <c r="G26" s="51">
        <v>44920.098425925898</v>
      </c>
      <c r="H26" s="52">
        <v>3.0092592592589999E-3</v>
      </c>
      <c r="I26">
        <v>2.2363889217376709</v>
      </c>
      <c r="J26">
        <v>6033.5702453132899</v>
      </c>
      <c r="K26">
        <v>124.15875835895299</v>
      </c>
    </row>
    <row r="27" spans="1:11" x14ac:dyDescent="0.25">
      <c r="A27" t="s">
        <v>0</v>
      </c>
      <c r="B27">
        <f>VLOOKUP(C27,'[2]Ensaio 1'!$A$2:$F$28,6,FALSE)</f>
        <v>2</v>
      </c>
      <c r="C27" s="36">
        <v>900248002084301</v>
      </c>
      <c r="D27" s="36">
        <v>900248002084301</v>
      </c>
      <c r="E27" s="1">
        <f t="shared" si="0"/>
        <v>44920</v>
      </c>
      <c r="F27" s="51">
        <v>44920.332233796304</v>
      </c>
      <c r="G27" s="51">
        <v>44920.337118055599</v>
      </c>
      <c r="H27" s="52">
        <v>2.3148148148149999E-3</v>
      </c>
      <c r="I27">
        <v>7.9736108779907227</v>
      </c>
      <c r="J27">
        <v>6430.9640178728196</v>
      </c>
      <c r="K27">
        <v>68.294894625160396</v>
      </c>
    </row>
    <row r="28" spans="1:11" x14ac:dyDescent="0.25">
      <c r="A28" t="s">
        <v>0</v>
      </c>
      <c r="B28">
        <f>VLOOKUP(C28,'[2]Ensaio 1'!$A$2:$F$28,6,FALSE)</f>
        <v>2</v>
      </c>
      <c r="C28" s="36">
        <v>900248002085907</v>
      </c>
      <c r="D28" s="36">
        <v>900248002085907</v>
      </c>
      <c r="E28" s="1">
        <f t="shared" si="0"/>
        <v>44920</v>
      </c>
      <c r="F28" s="51">
        <v>44920.340324074103</v>
      </c>
      <c r="G28" s="51">
        <v>44920.344699074099</v>
      </c>
      <c r="H28" s="52">
        <v>3.032407407407E-3</v>
      </c>
      <c r="I28">
        <v>8.1677780151367188</v>
      </c>
      <c r="J28">
        <v>6587.3776764389804</v>
      </c>
      <c r="K28">
        <v>144.330884319284</v>
      </c>
    </row>
    <row r="29" spans="1:11" x14ac:dyDescent="0.25">
      <c r="A29" t="s">
        <v>0</v>
      </c>
      <c r="B29">
        <f>VLOOKUP(C29,'[2]Ensaio 1'!$A$2:$F$28,6,FALSE)</f>
        <v>2</v>
      </c>
      <c r="C29" s="36">
        <v>960000003516311</v>
      </c>
      <c r="D29" s="36">
        <v>960000003516311</v>
      </c>
      <c r="E29" s="1">
        <f t="shared" si="0"/>
        <v>44920</v>
      </c>
      <c r="F29" s="51">
        <v>44920.378530092603</v>
      </c>
      <c r="G29" s="51">
        <v>44920.382071759297</v>
      </c>
      <c r="H29" s="52">
        <v>3.2175925925929999E-3</v>
      </c>
      <c r="I29">
        <v>9.0847225189208984</v>
      </c>
      <c r="J29">
        <v>5355.3215716436598</v>
      </c>
      <c r="K29">
        <v>113.38101652356799</v>
      </c>
    </row>
    <row r="30" spans="1:11" x14ac:dyDescent="0.25">
      <c r="A30" t="s">
        <v>0</v>
      </c>
      <c r="B30">
        <f>VLOOKUP(C30,'[2]Ensaio 1'!$A$2:$F$28,6,FALSE)</f>
        <v>2</v>
      </c>
      <c r="C30" s="36">
        <v>900248002084301</v>
      </c>
      <c r="D30" s="36">
        <v>900248002084301</v>
      </c>
      <c r="E30" s="1">
        <f t="shared" si="0"/>
        <v>44920</v>
      </c>
      <c r="F30" s="51">
        <v>44920.584236111099</v>
      </c>
      <c r="G30" s="51">
        <v>44920.587488425903</v>
      </c>
      <c r="H30" s="52">
        <v>3.0555555555559998E-3</v>
      </c>
      <c r="I30">
        <v>14.021666526794434</v>
      </c>
      <c r="J30">
        <v>7484.9753196482998</v>
      </c>
      <c r="K30">
        <v>159.60759296029099</v>
      </c>
    </row>
    <row r="31" spans="1:11" x14ac:dyDescent="0.25">
      <c r="A31" t="s">
        <v>0</v>
      </c>
      <c r="B31">
        <f>VLOOKUP(C31,'[2]Ensaio 1'!$A$2:$F$28,6,FALSE)</f>
        <v>2</v>
      </c>
      <c r="C31" s="36">
        <v>960000003688457</v>
      </c>
      <c r="D31" s="36">
        <v>960000003688457</v>
      </c>
      <c r="E31" s="1">
        <f t="shared" si="0"/>
        <v>44920</v>
      </c>
      <c r="F31" s="51">
        <v>44920.6088773148</v>
      </c>
      <c r="G31" s="51">
        <v>44920.612581018497</v>
      </c>
      <c r="H31" s="52">
        <v>3.5648148148150001E-3</v>
      </c>
      <c r="I31">
        <v>14.613055229187012</v>
      </c>
      <c r="J31">
        <v>6344.3587607097197</v>
      </c>
      <c r="K31">
        <v>147.186891928714</v>
      </c>
    </row>
    <row r="32" spans="1:11" x14ac:dyDescent="0.25">
      <c r="A32" t="s">
        <v>0</v>
      </c>
      <c r="B32">
        <f>VLOOKUP(C32,'[2]Ensaio 1'!$A$2:$F$28,6,FALSE)</f>
        <v>2</v>
      </c>
      <c r="C32" s="36">
        <v>960000003516311</v>
      </c>
      <c r="D32" s="36">
        <v>960000003516311</v>
      </c>
      <c r="E32" s="1">
        <f t="shared" si="0"/>
        <v>44920</v>
      </c>
      <c r="F32" s="51">
        <v>44920.678819444402</v>
      </c>
      <c r="G32" s="51">
        <v>44920.682037036997</v>
      </c>
      <c r="H32" s="52">
        <v>2.5925925925930002E-3</v>
      </c>
      <c r="I32">
        <v>16.291666030883789</v>
      </c>
      <c r="J32">
        <v>8448.8320377809996</v>
      </c>
      <c r="K32">
        <v>257.60823676214699</v>
      </c>
    </row>
    <row r="33" spans="1:11" x14ac:dyDescent="0.25">
      <c r="A33" t="s">
        <v>0</v>
      </c>
      <c r="B33">
        <f>VLOOKUP(C33,'[2]Ensaio 1'!$A$2:$F$28,6,FALSE)</f>
        <v>2</v>
      </c>
      <c r="C33" s="36">
        <v>900248002084301</v>
      </c>
      <c r="D33" s="36">
        <v>900248002084301</v>
      </c>
      <c r="E33" s="1">
        <f t="shared" si="0"/>
        <v>44920</v>
      </c>
      <c r="F33" s="51">
        <v>44920.917060185202</v>
      </c>
      <c r="G33" s="51">
        <v>44920.920289351903</v>
      </c>
      <c r="H33" s="52">
        <v>2.6504629629629998E-3</v>
      </c>
      <c r="I33">
        <v>22.009445190429688</v>
      </c>
      <c r="J33">
        <v>8192.6004736428094</v>
      </c>
      <c r="K33">
        <v>102.364752074416</v>
      </c>
    </row>
    <row r="34" spans="1:11" x14ac:dyDescent="0.25">
      <c r="A34" t="s">
        <v>0</v>
      </c>
      <c r="B34">
        <f>VLOOKUP(C34,'[2]Ensaio 1'!$A$2:$F$28,6,FALSE)</f>
        <v>2</v>
      </c>
      <c r="C34" s="36">
        <v>960000003688457</v>
      </c>
      <c r="D34" s="36">
        <v>960000003688457</v>
      </c>
      <c r="E34" s="1">
        <f t="shared" si="0"/>
        <v>44920</v>
      </c>
      <c r="F34" s="51">
        <v>44920.925081018497</v>
      </c>
      <c r="G34" s="51">
        <v>44920.931481481501</v>
      </c>
      <c r="H34" s="52">
        <v>4.537037037037E-3</v>
      </c>
      <c r="I34">
        <v>22.201944351196289</v>
      </c>
      <c r="J34">
        <v>6766.6060335585898</v>
      </c>
      <c r="K34">
        <v>165.25892004494301</v>
      </c>
    </row>
    <row r="35" spans="1:11" x14ac:dyDescent="0.25">
      <c r="A35" t="s">
        <v>0</v>
      </c>
      <c r="B35">
        <f>VLOOKUP(C35,'[2]Ensaio 1'!$A$2:$F$28,6,FALSE)</f>
        <v>2</v>
      </c>
      <c r="C35" s="36">
        <v>960000003688457</v>
      </c>
      <c r="D35" s="36">
        <v>960000003688457</v>
      </c>
      <c r="E35" s="1">
        <f t="shared" si="0"/>
        <v>44921</v>
      </c>
      <c r="F35" s="51">
        <v>44921.043692129599</v>
      </c>
      <c r="G35" s="51">
        <v>44921.0463773148</v>
      </c>
      <c r="H35" s="52">
        <v>2.3148148148149999E-3</v>
      </c>
      <c r="I35">
        <v>1.048611164093018</v>
      </c>
      <c r="J35">
        <v>8024.8959304833497</v>
      </c>
      <c r="K35">
        <v>216.99519050997699</v>
      </c>
    </row>
    <row r="36" spans="1:11" x14ac:dyDescent="0.25">
      <c r="A36" t="s">
        <v>0</v>
      </c>
      <c r="B36">
        <f>VLOOKUP(C36,'[2]Ensaio 1'!$A$2:$F$28,6,FALSE)</f>
        <v>2</v>
      </c>
      <c r="C36" s="36">
        <v>900248002085907</v>
      </c>
      <c r="D36" s="36">
        <v>900248002085907</v>
      </c>
      <c r="E36" s="1">
        <f t="shared" si="0"/>
        <v>44921</v>
      </c>
      <c r="F36" s="51">
        <v>44921.100729166697</v>
      </c>
      <c r="G36" s="51">
        <v>44921.103738425903</v>
      </c>
      <c r="H36" s="52">
        <v>2.9513888888889998E-3</v>
      </c>
      <c r="I36">
        <v>2.4175000190734859</v>
      </c>
      <c r="J36">
        <v>7255.17979742237</v>
      </c>
      <c r="K36">
        <v>153.911515922343</v>
      </c>
    </row>
    <row r="37" spans="1:11" x14ac:dyDescent="0.25">
      <c r="A37" t="s">
        <v>0</v>
      </c>
      <c r="B37">
        <f>VLOOKUP(C37,'[2]Ensaio 1'!$A$2:$F$28,6,FALSE)</f>
        <v>2</v>
      </c>
      <c r="C37" s="36">
        <v>900248002084301</v>
      </c>
      <c r="D37" s="36">
        <v>900248002084301</v>
      </c>
      <c r="E37" s="1">
        <f t="shared" si="0"/>
        <v>44921</v>
      </c>
      <c r="F37" s="51">
        <v>44921.112662036998</v>
      </c>
      <c r="G37" s="51">
        <v>44921.118159722202</v>
      </c>
      <c r="H37" s="52">
        <v>3.4375E-3</v>
      </c>
      <c r="I37">
        <v>2.703888893127441</v>
      </c>
      <c r="J37">
        <v>8608.6094432301306</v>
      </c>
      <c r="K37">
        <v>169.86902359691101</v>
      </c>
    </row>
    <row r="38" spans="1:11" x14ac:dyDescent="0.25">
      <c r="A38" t="s">
        <v>0</v>
      </c>
      <c r="B38">
        <f>VLOOKUP(C38,'[2]Ensaio 1'!$A$2:$F$28,6,FALSE)</f>
        <v>2</v>
      </c>
      <c r="C38" s="36">
        <v>900248002085907</v>
      </c>
      <c r="D38" s="36">
        <v>900248002085907</v>
      </c>
      <c r="E38" s="1">
        <f t="shared" si="0"/>
        <v>44921</v>
      </c>
      <c r="F38" s="51">
        <v>44921.366539351897</v>
      </c>
      <c r="G38" s="51">
        <v>44921.369050925903</v>
      </c>
      <c r="H38" s="52">
        <v>2.4537037037039998E-3</v>
      </c>
      <c r="I38">
        <v>8.7969446182250977</v>
      </c>
      <c r="J38">
        <v>7646.5660583662802</v>
      </c>
      <c r="K38">
        <v>159.35105103036099</v>
      </c>
    </row>
    <row r="39" spans="1:11" x14ac:dyDescent="0.25">
      <c r="A39" t="s">
        <v>0</v>
      </c>
      <c r="B39">
        <f>VLOOKUP(C39,'[2]Ensaio 1'!$A$2:$F$28,6,FALSE)</f>
        <v>2</v>
      </c>
      <c r="C39" s="36">
        <v>900248002084301</v>
      </c>
      <c r="D39" s="36">
        <v>900248002084301</v>
      </c>
      <c r="E39" s="1">
        <f t="shared" si="0"/>
        <v>44921</v>
      </c>
      <c r="F39" s="51">
        <v>44921.376956018503</v>
      </c>
      <c r="G39" s="51">
        <v>44921.380532407398</v>
      </c>
      <c r="H39" s="52">
        <v>3.2523148148149998E-3</v>
      </c>
      <c r="I39">
        <v>9.0469446182250977</v>
      </c>
      <c r="J39">
        <v>8706.2490785210794</v>
      </c>
      <c r="K39">
        <v>177.51487617340001</v>
      </c>
    </row>
    <row r="40" spans="1:11" x14ac:dyDescent="0.25">
      <c r="A40" t="str">
        <f>VLOOKUP(C40,'[2]Ensaio 1'!$A$2:$E$28,5,FALSE)</f>
        <v>Control</v>
      </c>
      <c r="B40">
        <f>VLOOKUP(C40,'[2]Ensaio 1'!$A$2:$F$28,6,FALSE)</f>
        <v>3</v>
      </c>
      <c r="C40" s="36">
        <v>960000003688522</v>
      </c>
      <c r="D40" s="36">
        <v>960000003688522</v>
      </c>
      <c r="E40" s="1">
        <f t="shared" si="0"/>
        <v>44921</v>
      </c>
      <c r="F40" s="51">
        <v>44921.449108796303</v>
      </c>
      <c r="G40" s="51">
        <v>44921.450821759303</v>
      </c>
      <c r="H40" s="52">
        <v>1.6087962962959999E-3</v>
      </c>
      <c r="I40">
        <v>10.778611183166504</v>
      </c>
      <c r="J40">
        <v>7435.1850089404497</v>
      </c>
      <c r="K40">
        <v>169.00456052518001</v>
      </c>
    </row>
    <row r="41" spans="1:11" x14ac:dyDescent="0.25">
      <c r="A41" t="str">
        <f>VLOOKUP(C41,'[2]Ensaio 1'!$A$2:$E$28,5,FALSE)</f>
        <v>Control</v>
      </c>
      <c r="B41">
        <f>VLOOKUP(C41,'[2]Ensaio 1'!$A$2:$F$28,6,FALSE)</f>
        <v>3</v>
      </c>
      <c r="C41" s="36">
        <v>960000003608633</v>
      </c>
      <c r="D41" s="36">
        <v>960000003608633</v>
      </c>
      <c r="E41" s="1">
        <f t="shared" si="0"/>
        <v>44921</v>
      </c>
      <c r="F41" s="51">
        <v>44921.524849537003</v>
      </c>
      <c r="G41" s="51">
        <v>44921.530196759297</v>
      </c>
      <c r="H41" s="52">
        <v>2.071759259259E-3</v>
      </c>
      <c r="I41">
        <v>12.596388816833496</v>
      </c>
      <c r="J41">
        <v>7751.3635780648801</v>
      </c>
      <c r="K41">
        <v>99.387261378873603</v>
      </c>
    </row>
    <row r="42" spans="1:11" x14ac:dyDescent="0.25">
      <c r="A42" t="str">
        <f>VLOOKUP(C42,'[2]Ensaio 1'!$A$2:$E$28,5,FALSE)</f>
        <v>Control</v>
      </c>
      <c r="B42">
        <f>VLOOKUP(C42,'[2]Ensaio 1'!$A$2:$F$28,6,FALSE)</f>
        <v>3</v>
      </c>
      <c r="C42" s="36">
        <v>900248002084626</v>
      </c>
      <c r="D42" s="36">
        <v>900248002084626</v>
      </c>
      <c r="E42" s="1">
        <f t="shared" si="0"/>
        <v>44921</v>
      </c>
      <c r="F42" s="51">
        <v>44921.569351851896</v>
      </c>
      <c r="G42" s="51">
        <v>44921.572824074101</v>
      </c>
      <c r="H42" s="52">
        <v>3.3912037037040002E-3</v>
      </c>
      <c r="I42">
        <v>13.664443969726563</v>
      </c>
      <c r="J42">
        <v>9975.4314945104506</v>
      </c>
      <c r="K42">
        <v>228.676974914976</v>
      </c>
    </row>
    <row r="43" spans="1:11" x14ac:dyDescent="0.25">
      <c r="A43" t="str">
        <f>VLOOKUP(C43,'[2]Ensaio 1'!$A$2:$E$28,5,FALSE)</f>
        <v>Control</v>
      </c>
      <c r="B43">
        <f>VLOOKUP(C43,'[2]Ensaio 1'!$A$2:$F$28,6,FALSE)</f>
        <v>3</v>
      </c>
      <c r="C43" s="36">
        <v>960000003664778</v>
      </c>
      <c r="D43" s="36">
        <v>960000003664778</v>
      </c>
      <c r="E43" s="1">
        <f t="shared" si="0"/>
        <v>44921</v>
      </c>
      <c r="F43" s="51">
        <v>44921.584178240701</v>
      </c>
      <c r="G43" s="51">
        <v>44921.5872453704</v>
      </c>
      <c r="H43" s="52">
        <v>2.7083333333329999E-3</v>
      </c>
      <c r="I43">
        <v>14.020277976989746</v>
      </c>
      <c r="J43">
        <v>7034.8840916386298</v>
      </c>
      <c r="K43">
        <v>145.442694369522</v>
      </c>
    </row>
    <row r="44" spans="1:11" x14ac:dyDescent="0.25">
      <c r="A44" t="str">
        <f>VLOOKUP(C44,'[2]Ensaio 1'!$A$2:$E$28,5,FALSE)</f>
        <v>Control</v>
      </c>
      <c r="B44">
        <f>VLOOKUP(C44,'[2]Ensaio 1'!$A$2:$F$28,6,FALSE)</f>
        <v>3</v>
      </c>
      <c r="C44" s="36">
        <v>960000003827766</v>
      </c>
      <c r="D44" s="36">
        <v>960000003827766</v>
      </c>
      <c r="E44" s="1">
        <f t="shared" si="0"/>
        <v>44921</v>
      </c>
      <c r="F44" s="51">
        <v>44921.696145833303</v>
      </c>
      <c r="G44" s="51">
        <v>44921.700416666703</v>
      </c>
      <c r="H44" s="52">
        <v>3.877314814815E-3</v>
      </c>
      <c r="I44">
        <v>16.707500457763672</v>
      </c>
      <c r="J44">
        <v>8708.6301203176299</v>
      </c>
      <c r="K44">
        <v>145.55342576761601</v>
      </c>
    </row>
    <row r="45" spans="1:11" x14ac:dyDescent="0.25">
      <c r="A45" t="str">
        <f>VLOOKUP(C45,'[2]Ensaio 1'!$A$2:$E$28,5,FALSE)</f>
        <v>Control</v>
      </c>
      <c r="B45">
        <f>VLOOKUP(C45,'[2]Ensaio 1'!$A$2:$F$28,6,FALSE)</f>
        <v>3</v>
      </c>
      <c r="C45" s="36">
        <v>960000003688522</v>
      </c>
      <c r="D45" s="36">
        <v>960000003688522</v>
      </c>
      <c r="E45" s="1">
        <f t="shared" si="0"/>
        <v>44921</v>
      </c>
      <c r="F45" s="51">
        <v>44921.703229166698</v>
      </c>
      <c r="G45" s="51">
        <v>44921.706319444398</v>
      </c>
      <c r="H45" s="52">
        <v>2.44212962963E-3</v>
      </c>
      <c r="I45">
        <v>16.877500534057617</v>
      </c>
      <c r="J45">
        <v>5719.6885196285002</v>
      </c>
      <c r="K45">
        <v>98.237584967746002</v>
      </c>
    </row>
    <row r="46" spans="1:11" x14ac:dyDescent="0.25">
      <c r="A46" t="str">
        <f>VLOOKUP(C46,'[2]Ensaio 1'!$A$2:$E$28,5,FALSE)</f>
        <v>Control</v>
      </c>
      <c r="B46">
        <f>VLOOKUP(C46,'[2]Ensaio 1'!$A$2:$F$28,6,FALSE)</f>
        <v>3</v>
      </c>
      <c r="C46" s="36">
        <v>960000003688522</v>
      </c>
      <c r="D46" s="36">
        <v>960000003688522</v>
      </c>
      <c r="E46" s="1">
        <f t="shared" si="0"/>
        <v>44921</v>
      </c>
      <c r="F46" s="51">
        <v>44921.893854166701</v>
      </c>
      <c r="G46" s="51">
        <v>44921.895671296297</v>
      </c>
      <c r="H46" s="52">
        <v>1.7939814814810001E-3</v>
      </c>
      <c r="I46">
        <v>21.452499389648438</v>
      </c>
      <c r="J46">
        <v>7130.14393932643</v>
      </c>
      <c r="K46">
        <v>98.180340977559794</v>
      </c>
    </row>
    <row r="47" spans="1:11" x14ac:dyDescent="0.25">
      <c r="A47" t="str">
        <f>VLOOKUP(C47,'[2]Ensaio 1'!$A$2:$E$28,5,FALSE)</f>
        <v>Control</v>
      </c>
      <c r="B47">
        <f>VLOOKUP(C47,'[2]Ensaio 1'!$A$2:$F$28,6,FALSE)</f>
        <v>3</v>
      </c>
      <c r="C47" s="36">
        <v>960000003664778</v>
      </c>
      <c r="D47" s="36">
        <v>960000003664778</v>
      </c>
      <c r="E47" s="1">
        <f t="shared" si="0"/>
        <v>44921</v>
      </c>
      <c r="F47" s="51">
        <v>44921.909629629597</v>
      </c>
      <c r="G47" s="51">
        <v>44921.912118055603</v>
      </c>
      <c r="H47" s="52">
        <v>2.4074074074069999E-3</v>
      </c>
      <c r="I47">
        <v>21.831111907958984</v>
      </c>
      <c r="J47">
        <v>6787.6329741603504</v>
      </c>
      <c r="K47">
        <v>132.46576021672399</v>
      </c>
    </row>
    <row r="48" spans="1:11" x14ac:dyDescent="0.25">
      <c r="A48" t="str">
        <f>VLOOKUP(C48,'[2]Ensaio 1'!$A$2:$E$28,5,FALSE)</f>
        <v>Control</v>
      </c>
      <c r="B48">
        <f>VLOOKUP(C48,'[2]Ensaio 1'!$A$2:$F$28,6,FALSE)</f>
        <v>3</v>
      </c>
      <c r="C48" s="36">
        <v>960000003664778</v>
      </c>
      <c r="D48" s="36">
        <v>960000003664778</v>
      </c>
      <c r="E48" s="1">
        <f t="shared" si="0"/>
        <v>44922</v>
      </c>
      <c r="F48" s="51">
        <v>44922.004409722198</v>
      </c>
      <c r="G48" s="51">
        <v>44922.0070486111</v>
      </c>
      <c r="H48" s="52">
        <v>2.5925925925930002E-3</v>
      </c>
      <c r="I48">
        <v>0.10583333671093</v>
      </c>
      <c r="J48">
        <v>6773.2153354570401</v>
      </c>
      <c r="K48">
        <v>106.675898161668</v>
      </c>
    </row>
    <row r="49" spans="1:11" x14ac:dyDescent="0.25">
      <c r="A49" t="str">
        <f>VLOOKUP(C49,'[2]Ensaio 1'!$A$2:$E$28,5,FALSE)</f>
        <v>Control</v>
      </c>
      <c r="B49">
        <f>VLOOKUP(C49,'[2]Ensaio 1'!$A$2:$F$28,6,FALSE)</f>
        <v>3</v>
      </c>
      <c r="C49" s="36">
        <v>960000003608633</v>
      </c>
      <c r="D49" s="36">
        <v>960000003608633</v>
      </c>
      <c r="E49" s="1">
        <f t="shared" si="0"/>
        <v>44922</v>
      </c>
      <c r="F49" s="51">
        <v>44922.330208333296</v>
      </c>
      <c r="G49" s="51">
        <v>44922.332534722198</v>
      </c>
      <c r="H49" s="52">
        <v>2.303240740741E-3</v>
      </c>
      <c r="I49">
        <v>7.9250001907348633</v>
      </c>
      <c r="J49">
        <v>6918.9825101503802</v>
      </c>
      <c r="K49">
        <v>67.468581507663401</v>
      </c>
    </row>
    <row r="50" spans="1:11" x14ac:dyDescent="0.25">
      <c r="A50" t="str">
        <f>VLOOKUP(C50,'[2]Ensaio 1'!$A$2:$E$28,5,FALSE)</f>
        <v>Control</v>
      </c>
      <c r="B50">
        <f>VLOOKUP(C50,'[2]Ensaio 1'!$A$2:$F$28,6,FALSE)</f>
        <v>3</v>
      </c>
      <c r="C50" s="36">
        <v>900248002084626</v>
      </c>
      <c r="D50" s="36">
        <v>900248002084626</v>
      </c>
      <c r="E50" s="1">
        <f t="shared" si="0"/>
        <v>44922</v>
      </c>
      <c r="F50" s="51">
        <v>44922.381249999999</v>
      </c>
      <c r="G50" s="51">
        <v>44922.384675925903</v>
      </c>
      <c r="H50" s="52">
        <v>3.3796296296299999E-3</v>
      </c>
      <c r="I50">
        <v>9.1499996185302734</v>
      </c>
      <c r="J50">
        <v>8703.0920611224392</v>
      </c>
      <c r="K50">
        <v>90.196300779340007</v>
      </c>
    </row>
    <row r="51" spans="1:11" x14ac:dyDescent="0.25">
      <c r="A51" t="str">
        <f>VLOOKUP(C51,'[2]Ensaio 1'!$A$2:$E$28,5,FALSE)</f>
        <v>Control</v>
      </c>
      <c r="B51">
        <f>VLOOKUP(C51,'[2]Ensaio 1'!$A$2:$F$28,6,FALSE)</f>
        <v>3</v>
      </c>
      <c r="C51" s="36">
        <v>960000003608633</v>
      </c>
      <c r="D51" s="36">
        <v>960000003608633</v>
      </c>
      <c r="E51" s="1">
        <f t="shared" si="0"/>
        <v>44922</v>
      </c>
      <c r="F51" s="51">
        <v>44922.395312499997</v>
      </c>
      <c r="G51" s="51">
        <v>44922.398634259298</v>
      </c>
      <c r="H51" s="52">
        <v>2.9166666666669999E-3</v>
      </c>
      <c r="I51">
        <v>9.4875001907348633</v>
      </c>
      <c r="J51">
        <v>8498.8032575811394</v>
      </c>
      <c r="K51">
        <v>137.728632087855</v>
      </c>
    </row>
    <row r="52" spans="1:11" x14ac:dyDescent="0.25">
      <c r="A52" t="str">
        <f>VLOOKUP(C52,'[2]Ensaio 1'!$A$2:$E$28,5,FALSE)</f>
        <v>Control</v>
      </c>
      <c r="B52">
        <f>VLOOKUP(C52,'[2]Ensaio 1'!$A$2:$F$28,6,FALSE)</f>
        <v>3</v>
      </c>
      <c r="C52" s="36">
        <v>900248002084626</v>
      </c>
      <c r="D52" s="36">
        <v>900248002084626</v>
      </c>
      <c r="E52" s="1">
        <f t="shared" si="0"/>
        <v>44922</v>
      </c>
      <c r="F52" s="51">
        <v>44922.474571759303</v>
      </c>
      <c r="G52" s="51">
        <v>44922.4762037037</v>
      </c>
      <c r="H52" s="52">
        <v>1.550925925926E-3</v>
      </c>
      <c r="I52">
        <v>11.389721870422363</v>
      </c>
      <c r="J52">
        <v>7171.6299991987698</v>
      </c>
      <c r="K52">
        <v>78.511591729330803</v>
      </c>
    </row>
    <row r="53" spans="1:11" x14ac:dyDescent="0.25">
      <c r="A53" t="str">
        <f>VLOOKUP(C53,'[2]Ensaio 1'!$A$2:$E$28,5,FALSE)</f>
        <v>Control</v>
      </c>
      <c r="B53">
        <f>VLOOKUP(C53,'[2]Ensaio 1'!$A$2:$F$28,6,FALSE)</f>
        <v>3</v>
      </c>
      <c r="C53" s="36">
        <v>900248002084626</v>
      </c>
      <c r="D53" s="36">
        <v>900248002084626</v>
      </c>
      <c r="E53" s="1">
        <f t="shared" si="0"/>
        <v>44922</v>
      </c>
      <c r="F53" s="51">
        <v>44922.662604166697</v>
      </c>
      <c r="G53" s="51">
        <v>44922.665092592601</v>
      </c>
      <c r="H53" s="52">
        <v>2.1180555555559998E-3</v>
      </c>
      <c r="I53">
        <v>15.902500152587891</v>
      </c>
      <c r="J53">
        <v>9234.97982807882</v>
      </c>
      <c r="K53">
        <v>111.89918250570901</v>
      </c>
    </row>
    <row r="54" spans="1:11" x14ac:dyDescent="0.25">
      <c r="A54" t="str">
        <f>VLOOKUP(C54,'[2]Ensaio 1'!$A$2:$E$28,5,FALSE)</f>
        <v>Control</v>
      </c>
      <c r="B54">
        <f>VLOOKUP(C54,'[2]Ensaio 1'!$A$2:$F$28,6,FALSE)</f>
        <v>3</v>
      </c>
      <c r="C54" s="36">
        <v>960000003664778</v>
      </c>
      <c r="D54" s="36">
        <v>960000003664778</v>
      </c>
      <c r="E54" s="1">
        <f t="shared" si="0"/>
        <v>44922</v>
      </c>
      <c r="F54" s="51">
        <v>44922.674386574101</v>
      </c>
      <c r="G54" s="51">
        <v>44922.676342592596</v>
      </c>
      <c r="H54" s="52">
        <v>1.7245370370369999E-3</v>
      </c>
      <c r="I54">
        <v>16.185277938842773</v>
      </c>
      <c r="J54">
        <v>5311.0610574682696</v>
      </c>
      <c r="K54">
        <v>107.276132651677</v>
      </c>
    </row>
    <row r="55" spans="1:11" x14ac:dyDescent="0.25">
      <c r="A55" t="str">
        <f>VLOOKUP(C55,'[2]Ensaio 1'!$A$2:$E$28,5,FALSE)</f>
        <v>Control</v>
      </c>
      <c r="B55">
        <f>VLOOKUP(C55,'[2]Ensaio 1'!$A$2:$F$28,6,FALSE)</f>
        <v>3</v>
      </c>
      <c r="C55" s="36">
        <v>960000003688522</v>
      </c>
      <c r="D55" s="36">
        <v>960000003688522</v>
      </c>
      <c r="E55" s="1">
        <f t="shared" si="0"/>
        <v>44922</v>
      </c>
      <c r="F55" s="51">
        <v>44922.679155092599</v>
      </c>
      <c r="G55" s="51">
        <v>44922.683599536998</v>
      </c>
      <c r="H55" s="52">
        <v>3.136574074074E-3</v>
      </c>
      <c r="I55">
        <v>16.299722671508789</v>
      </c>
      <c r="J55">
        <v>7074.7057392019997</v>
      </c>
      <c r="K55">
        <v>117.849986049015</v>
      </c>
    </row>
    <row r="56" spans="1:11" x14ac:dyDescent="0.25">
      <c r="A56" t="str">
        <f>VLOOKUP(C56,'[2]Ensaio 1'!$A$2:$E$28,5,FALSE)</f>
        <v>Control</v>
      </c>
      <c r="B56">
        <f>VLOOKUP(C56,'[2]Ensaio 1'!$A$2:$F$28,6,FALSE)</f>
        <v>3</v>
      </c>
      <c r="C56" s="36">
        <v>960000003608633</v>
      </c>
      <c r="D56" s="36">
        <v>960000003608633</v>
      </c>
      <c r="E56" s="1">
        <f t="shared" si="0"/>
        <v>44922</v>
      </c>
      <c r="F56" s="51">
        <v>44922.709282407399</v>
      </c>
      <c r="G56" s="51">
        <v>44922.712083333303</v>
      </c>
      <c r="H56" s="52">
        <v>2.7546296296299998E-3</v>
      </c>
      <c r="I56">
        <v>17.022777557373047</v>
      </c>
      <c r="J56">
        <v>9608.3450791129108</v>
      </c>
      <c r="K56">
        <v>186.09790653432799</v>
      </c>
    </row>
    <row r="57" spans="1:11" x14ac:dyDescent="0.25">
      <c r="A57" t="str">
        <f>VLOOKUP(C57,'[2]Ensaio 1'!$A$2:$E$28,5,FALSE)</f>
        <v>Control</v>
      </c>
      <c r="B57">
        <f>VLOOKUP(C57,'[2]Ensaio 1'!$A$2:$F$28,6,FALSE)</f>
        <v>3</v>
      </c>
      <c r="C57" s="36">
        <v>900248002084626</v>
      </c>
      <c r="D57" s="36">
        <v>900248002084626</v>
      </c>
      <c r="E57" s="1">
        <f t="shared" si="0"/>
        <v>44922</v>
      </c>
      <c r="F57" s="51">
        <v>44922.917986111097</v>
      </c>
      <c r="G57" s="51">
        <v>44922.9231828704</v>
      </c>
      <c r="H57" s="52">
        <v>5.1157407407410004E-3</v>
      </c>
      <c r="I57">
        <v>22.031665802001953</v>
      </c>
      <c r="J57">
        <v>9470.9158120473694</v>
      </c>
      <c r="K57">
        <v>93.406229740658105</v>
      </c>
    </row>
    <row r="58" spans="1:11" x14ac:dyDescent="0.25">
      <c r="A58" t="str">
        <f>VLOOKUP(C58,'[2]Ensaio 1'!$A$2:$E$28,5,FALSE)</f>
        <v>Control</v>
      </c>
      <c r="B58">
        <f>VLOOKUP(C58,'[2]Ensaio 1'!$A$2:$F$28,6,FALSE)</f>
        <v>3</v>
      </c>
      <c r="C58" s="36">
        <v>960000003608633</v>
      </c>
      <c r="D58" s="36">
        <v>960000003608633</v>
      </c>
      <c r="E58" s="1">
        <f t="shared" si="0"/>
        <v>44922</v>
      </c>
      <c r="F58" s="51">
        <v>44922.946064814802</v>
      </c>
      <c r="G58" s="51">
        <v>44922.949317129598</v>
      </c>
      <c r="H58" s="52">
        <v>3.206018518519E-3</v>
      </c>
      <c r="I58">
        <v>22.705554962158203</v>
      </c>
      <c r="J58">
        <v>8190.9783790359998</v>
      </c>
      <c r="K58">
        <v>78.078413040245593</v>
      </c>
    </row>
    <row r="59" spans="1:11" x14ac:dyDescent="0.25">
      <c r="A59" t="str">
        <f>VLOOKUP(C59,'[2]Ensaio 1'!$A$2:$E$28,5,FALSE)</f>
        <v>Control</v>
      </c>
      <c r="B59">
        <f>VLOOKUP(C59,'[2]Ensaio 1'!$A$2:$F$28,6,FALSE)</f>
        <v>3</v>
      </c>
      <c r="C59" s="36">
        <v>960000003608633</v>
      </c>
      <c r="D59" s="36">
        <v>960000003608633</v>
      </c>
      <c r="E59" s="1">
        <f t="shared" si="0"/>
        <v>44923</v>
      </c>
      <c r="F59" s="51">
        <v>44923.165509259299</v>
      </c>
      <c r="G59" s="51">
        <v>44923.170590277798</v>
      </c>
      <c r="H59" s="52">
        <v>3.472222222222E-3</v>
      </c>
      <c r="I59">
        <v>3.9722223281860352</v>
      </c>
      <c r="J59">
        <v>8088.2668337772002</v>
      </c>
      <c r="K59">
        <v>63.116165526951001</v>
      </c>
    </row>
    <row r="60" spans="1:11" x14ac:dyDescent="0.25">
      <c r="A60" t="str">
        <f>VLOOKUP(C60,'[2]Ensaio 1'!$A$2:$E$28,5,FALSE)</f>
        <v>Control</v>
      </c>
      <c r="B60">
        <f>VLOOKUP(C60,'[2]Ensaio 1'!$A$2:$F$28,6,FALSE)</f>
        <v>3</v>
      </c>
      <c r="C60" s="36">
        <v>900248002084626</v>
      </c>
      <c r="D60" s="36">
        <v>900248002084626</v>
      </c>
      <c r="E60" s="1">
        <f t="shared" si="0"/>
        <v>44923</v>
      </c>
      <c r="F60" s="51">
        <v>44923.379108796304</v>
      </c>
      <c r="G60" s="51">
        <v>44923.382384259297</v>
      </c>
      <c r="H60" s="52">
        <v>2.835648148148E-3</v>
      </c>
      <c r="I60">
        <v>9.0986108779907227</v>
      </c>
      <c r="J60">
        <v>8488.1246703911002</v>
      </c>
      <c r="K60">
        <v>87.165567299387305</v>
      </c>
    </row>
    <row r="61" spans="1:11" x14ac:dyDescent="0.25">
      <c r="A61" t="str">
        <f>VLOOKUP(C61,'[2]Ensaio 1'!$A$2:$E$28,5,FALSE)</f>
        <v>Control</v>
      </c>
      <c r="B61">
        <f>VLOOKUP(C61,'[2]Ensaio 1'!$A$2:$F$28,6,FALSE)</f>
        <v>3</v>
      </c>
      <c r="C61" s="36">
        <v>960000003608633</v>
      </c>
      <c r="D61" s="36">
        <v>960000003608633</v>
      </c>
      <c r="E61" s="1">
        <f t="shared" si="0"/>
        <v>44923</v>
      </c>
      <c r="F61" s="51">
        <v>44923.403715277796</v>
      </c>
      <c r="G61" s="51">
        <v>44923.406909722202</v>
      </c>
      <c r="H61" s="52">
        <v>3.1250000000000002E-3</v>
      </c>
      <c r="I61">
        <v>9.6891670227050781</v>
      </c>
      <c r="J61">
        <v>7810.5603985983998</v>
      </c>
      <c r="K61">
        <v>108.816042334958</v>
      </c>
    </row>
    <row r="62" spans="1:11" x14ac:dyDescent="0.25">
      <c r="A62" t="str">
        <f>VLOOKUP(C62,'[2]Ensaio 1'!$A$2:$E$28,5,FALSE)</f>
        <v>Control</v>
      </c>
      <c r="B62">
        <f>VLOOKUP(C62,'[2]Ensaio 1'!$A$2:$F$28,6,FALSE)</f>
        <v>3</v>
      </c>
      <c r="C62" s="36">
        <v>960000003608633</v>
      </c>
      <c r="D62" s="36">
        <v>960000003608633</v>
      </c>
      <c r="E62" s="1">
        <f t="shared" si="0"/>
        <v>44923</v>
      </c>
      <c r="F62" s="51">
        <v>44923.574710648201</v>
      </c>
      <c r="G62" s="51">
        <v>44923.576423611099</v>
      </c>
      <c r="H62" s="52">
        <v>1.6782407407409999E-3</v>
      </c>
      <c r="I62">
        <v>13.793055534362793</v>
      </c>
      <c r="J62">
        <v>7974.7482335772702</v>
      </c>
      <c r="K62">
        <v>139.41849337770699</v>
      </c>
    </row>
    <row r="63" spans="1:11" x14ac:dyDescent="0.25">
      <c r="A63" t="str">
        <f>VLOOKUP(C63,'[2]Ensaio 1'!$A$2:$E$28,5,FALSE)</f>
        <v>Control</v>
      </c>
      <c r="B63">
        <f>VLOOKUP(C63,'[2]Ensaio 1'!$A$2:$F$28,6,FALSE)</f>
        <v>3</v>
      </c>
      <c r="C63" s="36">
        <v>960000003664778</v>
      </c>
      <c r="D63" s="36">
        <v>960000003664778</v>
      </c>
      <c r="E63" s="1">
        <f t="shared" si="0"/>
        <v>44923</v>
      </c>
      <c r="F63" s="51">
        <v>44923.621030092603</v>
      </c>
      <c r="G63" s="51">
        <v>44923.6227083333</v>
      </c>
      <c r="H63" s="52">
        <v>1.539351851852E-3</v>
      </c>
      <c r="I63">
        <v>14.904722213745117</v>
      </c>
      <c r="J63">
        <v>6174.5247907145504</v>
      </c>
      <c r="K63">
        <v>160.10674110899899</v>
      </c>
    </row>
    <row r="64" spans="1:11" x14ac:dyDescent="0.25">
      <c r="A64" t="str">
        <f>VLOOKUP(C64,'[2]Ensaio 1'!$A$2:$E$28,5,FALSE)</f>
        <v>Control</v>
      </c>
      <c r="B64">
        <f>VLOOKUP(C64,'[2]Ensaio 1'!$A$2:$F$28,6,FALSE)</f>
        <v>3</v>
      </c>
      <c r="C64" s="36">
        <v>900248002084626</v>
      </c>
      <c r="D64" s="36">
        <v>900248002084626</v>
      </c>
      <c r="E64" s="1">
        <f t="shared" si="0"/>
        <v>44923</v>
      </c>
      <c r="F64" s="51">
        <v>44923.638622685197</v>
      </c>
      <c r="G64" s="51">
        <v>44923.644548611097</v>
      </c>
      <c r="H64" s="52">
        <v>2.44212962963E-3</v>
      </c>
      <c r="I64">
        <v>15.326944351196289</v>
      </c>
      <c r="J64">
        <v>9980.2502980502995</v>
      </c>
      <c r="K64">
        <v>132.75059394291799</v>
      </c>
    </row>
    <row r="65" spans="1:11" x14ac:dyDescent="0.25">
      <c r="A65" t="str">
        <f>VLOOKUP(C65,'[2]Ensaio 1'!$A$2:$E$28,5,FALSE)</f>
        <v>Control</v>
      </c>
      <c r="B65">
        <f>VLOOKUP(C65,'[2]Ensaio 1'!$A$2:$F$28,6,FALSE)</f>
        <v>4</v>
      </c>
      <c r="C65" s="36">
        <v>960000003516091</v>
      </c>
      <c r="D65" s="36">
        <v>960000003516091</v>
      </c>
      <c r="E65" s="1">
        <f t="shared" si="0"/>
        <v>44924</v>
      </c>
      <c r="F65" s="51">
        <v>44924.7270138889</v>
      </c>
      <c r="G65" s="51">
        <v>44924.731273148202</v>
      </c>
      <c r="H65" s="52">
        <v>3.9583333333329997E-3</v>
      </c>
      <c r="I65">
        <v>17.448333740234375</v>
      </c>
      <c r="J65">
        <v>8316.1148114218795</v>
      </c>
      <c r="K65">
        <v>86.061367251407404</v>
      </c>
    </row>
    <row r="66" spans="1:11" x14ac:dyDescent="0.25">
      <c r="A66" t="str">
        <f>VLOOKUP(C66,'[2]Ensaio 1'!$A$2:$E$28,5,FALSE)</f>
        <v>Control</v>
      </c>
      <c r="B66">
        <f>VLOOKUP(C66,'[2]Ensaio 1'!$A$2:$F$28,6,FALSE)</f>
        <v>4</v>
      </c>
      <c r="C66" s="36">
        <v>960000003687554</v>
      </c>
      <c r="D66" s="36">
        <v>960000003687554</v>
      </c>
      <c r="E66" s="1">
        <f t="shared" ref="E66:E129" si="1">ROUNDDOWN(LEFT(F66,10),0)</f>
        <v>44924</v>
      </c>
      <c r="F66" s="51">
        <v>44924.766585648104</v>
      </c>
      <c r="G66" s="51">
        <v>44924.770520833299</v>
      </c>
      <c r="H66" s="52">
        <v>3.6805555555559999E-3</v>
      </c>
      <c r="I66">
        <v>18.398056030273438</v>
      </c>
      <c r="J66">
        <v>7129.5654038345801</v>
      </c>
      <c r="K66">
        <v>99.544197992925206</v>
      </c>
    </row>
    <row r="67" spans="1:11" x14ac:dyDescent="0.25">
      <c r="A67" t="str">
        <f>VLOOKUP(C67,'[2]Ensaio 1'!$A$2:$E$28,5,FALSE)</f>
        <v>Control</v>
      </c>
      <c r="B67">
        <f>VLOOKUP(C67,'[2]Ensaio 1'!$A$2:$F$28,6,FALSE)</f>
        <v>4</v>
      </c>
      <c r="C67" s="36">
        <v>960000003687554</v>
      </c>
      <c r="D67" s="36">
        <v>960000003687554</v>
      </c>
      <c r="E67" s="1">
        <f t="shared" si="1"/>
        <v>44924</v>
      </c>
      <c r="F67" s="51">
        <v>44924.977557870399</v>
      </c>
      <c r="G67" s="51">
        <v>44924.980115740698</v>
      </c>
      <c r="H67" s="52">
        <v>2.534722222222E-3</v>
      </c>
      <c r="I67">
        <v>23.461389541625977</v>
      </c>
      <c r="J67">
        <v>8497.7989635398899</v>
      </c>
      <c r="K67">
        <v>66.276196381222107</v>
      </c>
    </row>
    <row r="68" spans="1:11" x14ac:dyDescent="0.25">
      <c r="A68" t="str">
        <f>VLOOKUP(C68,'[2]Ensaio 1'!$A$2:$E$28,5,FALSE)</f>
        <v>Control</v>
      </c>
      <c r="B68">
        <f>VLOOKUP(C68,'[2]Ensaio 1'!$A$2:$F$28,6,FALSE)</f>
        <v>4</v>
      </c>
      <c r="C68" s="36">
        <v>960000003687554</v>
      </c>
      <c r="D68" s="36">
        <v>960000003687554</v>
      </c>
      <c r="E68" s="1">
        <f t="shared" si="1"/>
        <v>44925</v>
      </c>
      <c r="F68" s="51">
        <v>44925.139062499999</v>
      </c>
      <c r="G68" s="51">
        <v>44925.142141203702</v>
      </c>
      <c r="H68" s="52">
        <v>3.032407407407E-3</v>
      </c>
      <c r="I68">
        <v>3.3375000953674321</v>
      </c>
      <c r="J68">
        <v>8500.5804174913701</v>
      </c>
      <c r="K68">
        <v>75.720215772115694</v>
      </c>
    </row>
    <row r="69" spans="1:11" x14ac:dyDescent="0.25">
      <c r="A69" t="str">
        <f>VLOOKUP(C69,'[2]Ensaio 1'!$A$2:$E$28,5,FALSE)</f>
        <v>Control</v>
      </c>
      <c r="B69">
        <f>VLOOKUP(C69,'[2]Ensaio 1'!$A$2:$F$28,6,FALSE)</f>
        <v>4</v>
      </c>
      <c r="C69" s="36">
        <v>960000003516091</v>
      </c>
      <c r="D69" s="36">
        <v>960000003516091</v>
      </c>
      <c r="E69" s="1">
        <f t="shared" si="1"/>
        <v>44925</v>
      </c>
      <c r="F69" s="51">
        <v>44925.2725347222</v>
      </c>
      <c r="G69" s="51">
        <v>44925.281574074099</v>
      </c>
      <c r="H69" s="52">
        <v>3.842592592593E-3</v>
      </c>
      <c r="I69">
        <v>6.5408334732055664</v>
      </c>
      <c r="J69">
        <v>5494.3836812604704</v>
      </c>
      <c r="K69">
        <v>36.712873632092503</v>
      </c>
    </row>
    <row r="70" spans="1:11" x14ac:dyDescent="0.25">
      <c r="A70" t="str">
        <f>VLOOKUP(C70,'[2]Ensaio 1'!$A$2:$E$28,5,FALSE)</f>
        <v>Control</v>
      </c>
      <c r="B70">
        <f>VLOOKUP(C70,'[2]Ensaio 1'!$A$2:$F$28,6,FALSE)</f>
        <v>4</v>
      </c>
      <c r="C70" s="36">
        <v>960000003687554</v>
      </c>
      <c r="D70" s="36">
        <v>960000003687554</v>
      </c>
      <c r="E70" s="1">
        <f t="shared" si="1"/>
        <v>44925</v>
      </c>
      <c r="F70" s="51">
        <v>44925.382962962998</v>
      </c>
      <c r="G70" s="51">
        <v>44925.385115740697</v>
      </c>
      <c r="H70" s="52">
        <v>1.805555555556E-3</v>
      </c>
      <c r="I70">
        <v>9.1911115646362305</v>
      </c>
      <c r="J70">
        <v>5674.5652045306397</v>
      </c>
      <c r="K70">
        <v>37.381483653625999</v>
      </c>
    </row>
    <row r="71" spans="1:11" x14ac:dyDescent="0.25">
      <c r="A71" t="str">
        <f>VLOOKUP(C71,'[2]Ensaio 1'!$A$2:$E$28,5,FALSE)</f>
        <v>Control</v>
      </c>
      <c r="B71">
        <f>VLOOKUP(C71,'[2]Ensaio 1'!$A$2:$F$28,6,FALSE)</f>
        <v>4</v>
      </c>
      <c r="C71" s="36">
        <v>960000003688521</v>
      </c>
      <c r="D71" s="36">
        <v>960000003688521</v>
      </c>
      <c r="E71" s="1">
        <f t="shared" si="1"/>
        <v>44925</v>
      </c>
      <c r="F71" s="51">
        <v>44925.575081018498</v>
      </c>
      <c r="G71" s="51">
        <v>44925.578240740702</v>
      </c>
      <c r="H71" s="52">
        <v>1.8287037037039999E-3</v>
      </c>
      <c r="I71">
        <v>13.801944732666016</v>
      </c>
      <c r="J71">
        <v>6868.0346182512503</v>
      </c>
      <c r="K71">
        <v>83.733754358197402</v>
      </c>
    </row>
    <row r="72" spans="1:11" x14ac:dyDescent="0.25">
      <c r="A72" t="str">
        <f>VLOOKUP(C72,'[2]Ensaio 1'!$A$2:$E$28,5,FALSE)</f>
        <v>Control</v>
      </c>
      <c r="B72">
        <f>VLOOKUP(C72,'[2]Ensaio 1'!$A$2:$F$28,6,FALSE)</f>
        <v>4</v>
      </c>
      <c r="C72" s="36">
        <v>960000003688521</v>
      </c>
      <c r="D72" s="36">
        <v>960000003688521</v>
      </c>
      <c r="E72" s="1">
        <f t="shared" si="1"/>
        <v>44925</v>
      </c>
      <c r="F72" s="51">
        <v>44925.858796296299</v>
      </c>
      <c r="G72" s="51">
        <v>44925.8617592593</v>
      </c>
      <c r="H72" s="52">
        <v>1.736111111111E-3</v>
      </c>
      <c r="I72">
        <v>20.611110687255859</v>
      </c>
      <c r="J72">
        <v>8356.5985083331798</v>
      </c>
      <c r="K72">
        <v>59.811265033512498</v>
      </c>
    </row>
    <row r="73" spans="1:11" x14ac:dyDescent="0.25">
      <c r="A73" s="57" t="s">
        <v>0</v>
      </c>
      <c r="B73" s="37">
        <f>VLOOKUP(C73,'[2]Ensaio 1'!$A$2:$F$28,6,FALSE)</f>
        <v>2</v>
      </c>
      <c r="C73" s="53">
        <v>900248002084301</v>
      </c>
      <c r="D73" s="53">
        <v>900248002084301</v>
      </c>
      <c r="E73" s="54">
        <f t="shared" si="1"/>
        <v>44929</v>
      </c>
      <c r="F73" s="55">
        <v>44929.398368055598</v>
      </c>
      <c r="G73" s="55">
        <v>44929.402337963002</v>
      </c>
      <c r="H73" s="56">
        <v>3.1481481481479999E-3</v>
      </c>
      <c r="I73" s="37">
        <v>9.5608329772949219</v>
      </c>
      <c r="J73" s="37">
        <v>9325.9267705627899</v>
      </c>
      <c r="K73" s="37">
        <v>127.33140213598899</v>
      </c>
    </row>
    <row r="74" spans="1:11" x14ac:dyDescent="0.25">
      <c r="A74" s="57" t="s">
        <v>0</v>
      </c>
      <c r="B74">
        <f>VLOOKUP(C74,'[2]Ensaio 1'!$A$2:$F$28,6,FALSE)</f>
        <v>2</v>
      </c>
      <c r="C74" s="36">
        <v>960000003516311</v>
      </c>
      <c r="D74" s="36">
        <v>960000003516311</v>
      </c>
      <c r="E74" s="1">
        <f t="shared" si="1"/>
        <v>44929</v>
      </c>
      <c r="F74" s="51">
        <v>44929.4050347222</v>
      </c>
      <c r="G74" s="51">
        <v>44929.408472222203</v>
      </c>
      <c r="H74" s="52">
        <v>3.333333333333E-3</v>
      </c>
      <c r="I74">
        <v>9.7208337783813477</v>
      </c>
      <c r="J74">
        <v>6599.1706576651104</v>
      </c>
      <c r="K74">
        <v>126.052003842579</v>
      </c>
    </row>
    <row r="75" spans="1:11" x14ac:dyDescent="0.25">
      <c r="A75" s="57" t="s">
        <v>0</v>
      </c>
      <c r="B75">
        <f>VLOOKUP(C75,'[2]Ensaio 1'!$A$2:$F$28,6,FALSE)</f>
        <v>2</v>
      </c>
      <c r="C75" s="36">
        <v>960000003827747</v>
      </c>
      <c r="D75" s="36">
        <v>960000003827747</v>
      </c>
      <c r="E75" s="1">
        <f t="shared" si="1"/>
        <v>44929</v>
      </c>
      <c r="F75" s="51">
        <v>44929.416597222204</v>
      </c>
      <c r="G75" s="51">
        <v>44929.423379629603</v>
      </c>
      <c r="H75" s="52">
        <v>4.675925925926E-3</v>
      </c>
      <c r="I75">
        <v>9.9983329772949219</v>
      </c>
      <c r="J75">
        <v>8157.7991617756097</v>
      </c>
      <c r="K75">
        <v>180.41998690359901</v>
      </c>
    </row>
    <row r="76" spans="1:11" x14ac:dyDescent="0.25">
      <c r="A76" s="57" t="s">
        <v>0</v>
      </c>
      <c r="B76">
        <f>VLOOKUP(C76,'[2]Ensaio 1'!$A$2:$F$28,6,FALSE)</f>
        <v>2</v>
      </c>
      <c r="C76" s="36">
        <v>960000003688457</v>
      </c>
      <c r="D76" s="36">
        <v>960000003688457</v>
      </c>
      <c r="E76" s="1">
        <f t="shared" si="1"/>
        <v>44929</v>
      </c>
      <c r="F76" s="51">
        <v>44929.4305902778</v>
      </c>
      <c r="G76" s="51">
        <v>44929.4359722222</v>
      </c>
      <c r="H76" s="52">
        <v>3.8541666666669998E-3</v>
      </c>
      <c r="I76">
        <v>10.334166526794434</v>
      </c>
      <c r="J76">
        <v>6579.5616969696703</v>
      </c>
      <c r="K76">
        <v>151.67320804325601</v>
      </c>
    </row>
    <row r="77" spans="1:11" x14ac:dyDescent="0.25">
      <c r="A77" s="57" t="s">
        <v>0</v>
      </c>
      <c r="B77">
        <f>VLOOKUP(C77,'[2]Ensaio 1'!$A$2:$F$28,6,FALSE)</f>
        <v>2</v>
      </c>
      <c r="C77" s="36">
        <v>900248002084301</v>
      </c>
      <c r="D77" s="36">
        <v>900248002084301</v>
      </c>
      <c r="E77" s="1">
        <f t="shared" si="1"/>
        <v>44929</v>
      </c>
      <c r="F77" s="51">
        <v>44929.623101851903</v>
      </c>
      <c r="G77" s="51">
        <v>44929.6276967593</v>
      </c>
      <c r="H77" s="52">
        <v>3.8888888888889998E-3</v>
      </c>
      <c r="I77">
        <v>14.954444885253906</v>
      </c>
      <c r="J77">
        <v>8088.3393745029598</v>
      </c>
      <c r="K77">
        <v>158.20198504973601</v>
      </c>
    </row>
    <row r="78" spans="1:11" x14ac:dyDescent="0.25">
      <c r="A78" s="57" t="s">
        <v>0</v>
      </c>
      <c r="B78">
        <f>VLOOKUP(C78,'[2]Ensaio 1'!$A$2:$F$28,6,FALSE)</f>
        <v>2</v>
      </c>
      <c r="C78" s="36">
        <v>960000003688457</v>
      </c>
      <c r="D78" s="36">
        <v>960000003688457</v>
      </c>
      <c r="E78" s="1">
        <f t="shared" si="1"/>
        <v>44929</v>
      </c>
      <c r="F78" s="51">
        <v>44929.657546296301</v>
      </c>
      <c r="G78" s="51">
        <v>44929.665925925903</v>
      </c>
      <c r="H78" s="52">
        <v>3.2870370370369998E-3</v>
      </c>
      <c r="I78">
        <v>15.781110763549805</v>
      </c>
      <c r="J78">
        <v>6561.5737287517804</v>
      </c>
      <c r="K78">
        <v>152.55830918742899</v>
      </c>
    </row>
    <row r="79" spans="1:11" x14ac:dyDescent="0.25">
      <c r="A79" s="57" t="s">
        <v>0</v>
      </c>
      <c r="B79">
        <f>VLOOKUP(C79,'[2]Ensaio 1'!$A$2:$F$28,6,FALSE)</f>
        <v>2</v>
      </c>
      <c r="C79" s="36">
        <v>960000003516311</v>
      </c>
      <c r="D79" s="36">
        <v>960000003516311</v>
      </c>
      <c r="E79" s="1">
        <f t="shared" si="1"/>
        <v>44929</v>
      </c>
      <c r="F79" s="51">
        <v>44929.878344907404</v>
      </c>
      <c r="G79" s="51">
        <v>44929.881724537001</v>
      </c>
      <c r="H79" s="52">
        <v>3.3217592592590002E-3</v>
      </c>
      <c r="I79">
        <v>21.080278396606445</v>
      </c>
      <c r="J79">
        <v>8834.5778088825991</v>
      </c>
      <c r="K79">
        <v>210.56249803453699</v>
      </c>
    </row>
    <row r="80" spans="1:11" x14ac:dyDescent="0.25">
      <c r="A80" s="57" t="s">
        <v>0</v>
      </c>
      <c r="B80">
        <f>VLOOKUP(C80,'[2]Ensaio 1'!$A$2:$F$28,6,FALSE)</f>
        <v>2</v>
      </c>
      <c r="C80" s="36">
        <v>960000003688457</v>
      </c>
      <c r="D80" s="36">
        <v>960000003688457</v>
      </c>
      <c r="E80" s="1">
        <f t="shared" si="1"/>
        <v>44929</v>
      </c>
      <c r="F80" s="51">
        <v>44929.889479166697</v>
      </c>
      <c r="G80" s="51">
        <v>44929.894224536998</v>
      </c>
      <c r="H80" s="52">
        <v>4.00462962963E-3</v>
      </c>
      <c r="I80">
        <v>21.347499847412109</v>
      </c>
      <c r="J80">
        <v>8003.5183755384496</v>
      </c>
      <c r="K80">
        <v>185.61537153021601</v>
      </c>
    </row>
    <row r="81" spans="1:11" x14ac:dyDescent="0.25">
      <c r="A81" s="57" t="s">
        <v>0</v>
      </c>
      <c r="B81">
        <f>VLOOKUP(C81,'[2]Ensaio 1'!$A$2:$F$28,6,FALSE)</f>
        <v>2</v>
      </c>
      <c r="C81" s="36">
        <v>900248002084301</v>
      </c>
      <c r="D81" s="36">
        <v>900248002084301</v>
      </c>
      <c r="E81" s="1">
        <f t="shared" si="1"/>
        <v>44929</v>
      </c>
      <c r="F81" s="51">
        <v>44929.989432870403</v>
      </c>
      <c r="G81" s="51">
        <v>44929.994606481501</v>
      </c>
      <c r="H81" s="52">
        <v>4.1898148148150002E-3</v>
      </c>
      <c r="I81">
        <v>23.746389389038086</v>
      </c>
      <c r="J81">
        <v>10445.780600784999</v>
      </c>
      <c r="K81">
        <v>212.602662376328</v>
      </c>
    </row>
    <row r="82" spans="1:11" x14ac:dyDescent="0.25">
      <c r="A82" s="57" t="s">
        <v>0</v>
      </c>
      <c r="B82">
        <f>VLOOKUP(C82,'[2]Ensaio 1'!$A$2:$F$28,6,FALSE)</f>
        <v>2</v>
      </c>
      <c r="C82" s="36">
        <v>960000003688457</v>
      </c>
      <c r="D82" s="36">
        <v>960000003688457</v>
      </c>
      <c r="E82" s="1">
        <f t="shared" si="1"/>
        <v>44929</v>
      </c>
      <c r="F82" s="51">
        <v>44929.999872685199</v>
      </c>
      <c r="G82" s="51">
        <v>44930.004999999997</v>
      </c>
      <c r="H82" s="52">
        <v>3.8194444444439998E-3</v>
      </c>
      <c r="I82">
        <v>23.996944427490234</v>
      </c>
      <c r="J82">
        <v>7858.3566087842701</v>
      </c>
      <c r="K82">
        <v>181.11483751740599</v>
      </c>
    </row>
    <row r="83" spans="1:11" x14ac:dyDescent="0.25">
      <c r="A83" s="57" t="s">
        <v>0</v>
      </c>
      <c r="B83">
        <f>VLOOKUP(C83,'[2]Ensaio 1'!$A$2:$F$28,6,FALSE)</f>
        <v>2</v>
      </c>
      <c r="C83" s="36">
        <v>900248002084301</v>
      </c>
      <c r="D83" s="36">
        <v>900248002084301</v>
      </c>
      <c r="E83" s="1">
        <f t="shared" si="1"/>
        <v>44930</v>
      </c>
      <c r="F83" s="51">
        <v>44930.074259259301</v>
      </c>
      <c r="G83" s="51">
        <v>44930.0777662037</v>
      </c>
      <c r="H83" s="52">
        <v>3.402777777778E-3</v>
      </c>
      <c r="I83">
        <v>1.7822222709655759</v>
      </c>
      <c r="J83">
        <v>10156.435832707601</v>
      </c>
      <c r="K83">
        <v>237.87003728695899</v>
      </c>
    </row>
    <row r="84" spans="1:11" x14ac:dyDescent="0.25">
      <c r="A84" s="57" t="s">
        <v>0</v>
      </c>
      <c r="B84">
        <f>VLOOKUP(C84,'[2]Ensaio 1'!$A$2:$F$28,6,FALSE)</f>
        <v>2</v>
      </c>
      <c r="C84" s="36">
        <v>960000003688457</v>
      </c>
      <c r="D84" s="36">
        <v>960000003688457</v>
      </c>
      <c r="E84" s="1">
        <f t="shared" si="1"/>
        <v>44930</v>
      </c>
      <c r="F84" s="51">
        <v>44930.242430555598</v>
      </c>
      <c r="G84" s="51">
        <v>44930.247280092597</v>
      </c>
      <c r="H84" s="52">
        <v>2.9166666666669999E-3</v>
      </c>
      <c r="I84">
        <v>5.8183331489562988</v>
      </c>
      <c r="J84">
        <v>7842.9749858927298</v>
      </c>
      <c r="K84">
        <v>160.45866323252301</v>
      </c>
    </row>
    <row r="85" spans="1:11" x14ac:dyDescent="0.25">
      <c r="A85" s="57" t="s">
        <v>0</v>
      </c>
      <c r="B85">
        <f>VLOOKUP(C85,'[2]Ensaio 1'!$A$2:$F$28,6,FALSE)</f>
        <v>2</v>
      </c>
      <c r="C85" s="36">
        <v>900248002085907</v>
      </c>
      <c r="D85" s="36">
        <v>900248002085907</v>
      </c>
      <c r="E85" s="1">
        <f t="shared" si="1"/>
        <v>44930</v>
      </c>
      <c r="F85" s="51">
        <v>44930.277673611097</v>
      </c>
      <c r="G85" s="51">
        <v>44930.281446759298</v>
      </c>
      <c r="H85" s="52">
        <v>3.2523148148149998E-3</v>
      </c>
      <c r="I85">
        <v>6.6641664505004883</v>
      </c>
      <c r="J85">
        <v>8733.75112667754</v>
      </c>
      <c r="K85">
        <v>203.40079643886699</v>
      </c>
    </row>
    <row r="86" spans="1:11" x14ac:dyDescent="0.25">
      <c r="A86" s="57" t="s">
        <v>0</v>
      </c>
      <c r="B86">
        <f>VLOOKUP(C86,'[2]Ensaio 1'!$A$2:$F$28,6,FALSE)</f>
        <v>2</v>
      </c>
      <c r="C86" s="36">
        <v>900248002084301</v>
      </c>
      <c r="D86" s="36">
        <v>900248002084301</v>
      </c>
      <c r="E86" s="1">
        <f t="shared" si="1"/>
        <v>44930</v>
      </c>
      <c r="F86" s="51">
        <v>44930.349085648202</v>
      </c>
      <c r="G86" s="51">
        <v>44930.352534722202</v>
      </c>
      <c r="H86" s="52">
        <v>3.3449074074069999E-3</v>
      </c>
      <c r="I86">
        <v>8.3780555725097656</v>
      </c>
      <c r="J86">
        <v>10165.2918197126</v>
      </c>
      <c r="K86">
        <v>219.666200830946</v>
      </c>
    </row>
    <row r="87" spans="1:11" x14ac:dyDescent="0.25">
      <c r="A87" s="57" t="s">
        <v>0</v>
      </c>
      <c r="B87">
        <f>VLOOKUP(C87,'[2]Ensaio 1'!$A$2:$F$28,6,FALSE)</f>
        <v>2</v>
      </c>
      <c r="C87" s="36">
        <v>960000003516311</v>
      </c>
      <c r="D87" s="36">
        <v>960000003516311</v>
      </c>
      <c r="E87" s="1">
        <f t="shared" si="1"/>
        <v>44930</v>
      </c>
      <c r="F87" s="51">
        <v>44930.4816782407</v>
      </c>
      <c r="G87" s="51">
        <v>44930.484618055598</v>
      </c>
      <c r="H87" s="52">
        <v>2.8935185185190002E-3</v>
      </c>
      <c r="I87">
        <v>11.560277938842773</v>
      </c>
      <c r="J87">
        <v>7920.9304172291704</v>
      </c>
      <c r="K87">
        <v>159.59974370038299</v>
      </c>
    </row>
    <row r="88" spans="1:11" x14ac:dyDescent="0.25">
      <c r="A88" s="57" t="s">
        <v>0</v>
      </c>
      <c r="B88">
        <f>VLOOKUP(C88,'[2]Ensaio 1'!$A$2:$F$28,6,FALSE)</f>
        <v>2</v>
      </c>
      <c r="C88" s="36">
        <v>960000003688457</v>
      </c>
      <c r="D88" s="36">
        <v>960000003688457</v>
      </c>
      <c r="E88" s="1">
        <f t="shared" si="1"/>
        <v>44930</v>
      </c>
      <c r="F88" s="51">
        <v>44930.496597222198</v>
      </c>
      <c r="G88" s="51">
        <v>44930.499745370398</v>
      </c>
      <c r="H88" s="52">
        <v>2.9976851851850001E-3</v>
      </c>
      <c r="I88">
        <v>11.918333053588867</v>
      </c>
      <c r="J88">
        <v>5670.7731577249697</v>
      </c>
      <c r="K88">
        <v>171.37382458687301</v>
      </c>
    </row>
    <row r="89" spans="1:11" x14ac:dyDescent="0.25">
      <c r="A89" s="57" t="s">
        <v>0</v>
      </c>
      <c r="B89">
        <f>VLOOKUP(C89,'[2]Ensaio 1'!$A$2:$F$28,6,FALSE)</f>
        <v>2</v>
      </c>
      <c r="C89" s="36">
        <v>900248002084301</v>
      </c>
      <c r="D89" s="36">
        <v>900248002084301</v>
      </c>
      <c r="E89" s="1">
        <f t="shared" si="1"/>
        <v>44930</v>
      </c>
      <c r="F89" s="51">
        <v>44930.617465277799</v>
      </c>
      <c r="G89" s="51">
        <v>44930.620833333298</v>
      </c>
      <c r="H89" s="52">
        <v>3.3101851851849999E-3</v>
      </c>
      <c r="I89">
        <v>14.819167137145996</v>
      </c>
      <c r="J89">
        <v>10201.865743159</v>
      </c>
      <c r="K89">
        <v>256.35579051561098</v>
      </c>
    </row>
    <row r="90" spans="1:11" x14ac:dyDescent="0.25">
      <c r="A90" s="57" t="s">
        <v>0</v>
      </c>
      <c r="B90">
        <f>VLOOKUP(C90,'[2]Ensaio 1'!$A$2:$F$28,6,FALSE)</f>
        <v>2</v>
      </c>
      <c r="C90" s="36">
        <v>960000003516311</v>
      </c>
      <c r="D90" s="36">
        <v>960000003516311</v>
      </c>
      <c r="E90" s="1">
        <f t="shared" si="1"/>
        <v>44930</v>
      </c>
      <c r="F90" s="51">
        <v>44930.697476851798</v>
      </c>
      <c r="G90" s="51">
        <v>44930.700474537</v>
      </c>
      <c r="H90" s="52">
        <v>2.9629629629630001E-3</v>
      </c>
      <c r="I90">
        <v>16.739444732666016</v>
      </c>
      <c r="J90">
        <v>8667.2605796571406</v>
      </c>
      <c r="K90">
        <v>237.11805522026299</v>
      </c>
    </row>
    <row r="91" spans="1:11" x14ac:dyDescent="0.25">
      <c r="A91" s="57" t="s">
        <v>0</v>
      </c>
      <c r="B91">
        <f>VLOOKUP(C91,'[2]Ensaio 1'!$A$2:$F$28,6,FALSE)</f>
        <v>2</v>
      </c>
      <c r="C91" s="36">
        <v>960000003688457</v>
      </c>
      <c r="D91" s="36">
        <v>960000003688457</v>
      </c>
      <c r="E91" s="1">
        <f t="shared" si="1"/>
        <v>44930</v>
      </c>
      <c r="F91" s="51">
        <v>44930.709236111099</v>
      </c>
      <c r="G91" s="51">
        <v>44930.714305555601</v>
      </c>
      <c r="H91" s="52">
        <v>4.1203703703700002E-3</v>
      </c>
      <c r="I91">
        <v>17.02166748046875</v>
      </c>
      <c r="J91">
        <v>7989.2104750156404</v>
      </c>
      <c r="K91">
        <v>177.15189034757901</v>
      </c>
    </row>
    <row r="92" spans="1:11" x14ac:dyDescent="0.25">
      <c r="A92" s="57" t="s">
        <v>0</v>
      </c>
      <c r="B92">
        <f>VLOOKUP(C92,'[2]Ensaio 1'!$A$2:$F$28,6,FALSE)</f>
        <v>2</v>
      </c>
      <c r="C92" s="36">
        <v>900248002084301</v>
      </c>
      <c r="D92" s="36">
        <v>900248002084301</v>
      </c>
      <c r="E92" s="1">
        <f t="shared" si="1"/>
        <v>44930</v>
      </c>
      <c r="F92" s="51">
        <v>44930.868287037003</v>
      </c>
      <c r="G92" s="51">
        <v>44930.872511574104</v>
      </c>
      <c r="H92" s="52">
        <v>4.1666666666669997E-3</v>
      </c>
      <c r="I92">
        <v>20.838888168334961</v>
      </c>
      <c r="J92">
        <v>10504.802486386199</v>
      </c>
      <c r="K92">
        <v>240.89106933224201</v>
      </c>
    </row>
    <row r="93" spans="1:11" x14ac:dyDescent="0.25">
      <c r="A93" s="57" t="s">
        <v>0</v>
      </c>
      <c r="B93">
        <f>VLOOKUP(C93,'[2]Ensaio 1'!$A$2:$F$28,6,FALSE)</f>
        <v>2</v>
      </c>
      <c r="C93" s="36">
        <v>960000003688457</v>
      </c>
      <c r="D93" s="36">
        <v>960000003688457</v>
      </c>
      <c r="E93" s="1">
        <f t="shared" si="1"/>
        <v>44930</v>
      </c>
      <c r="F93" s="51">
        <v>44930.933263888903</v>
      </c>
      <c r="G93" s="51">
        <v>44930.936215277798</v>
      </c>
      <c r="H93" s="52">
        <v>2.604166666667E-3</v>
      </c>
      <c r="I93">
        <v>22.398332595825195</v>
      </c>
      <c r="J93">
        <v>7822.4924849158897</v>
      </c>
      <c r="K93">
        <v>220.33263194582099</v>
      </c>
    </row>
    <row r="94" spans="1:11" x14ac:dyDescent="0.25">
      <c r="A94" s="57" t="s">
        <v>0</v>
      </c>
      <c r="B94">
        <f>VLOOKUP(C94,'[2]Ensaio 1'!$A$2:$F$28,6,FALSE)</f>
        <v>2</v>
      </c>
      <c r="C94" s="36">
        <v>960000003516311</v>
      </c>
      <c r="D94" s="36">
        <v>960000003516311</v>
      </c>
      <c r="E94" s="1">
        <f t="shared" si="1"/>
        <v>44931</v>
      </c>
      <c r="F94" s="51">
        <v>44931.001770833303</v>
      </c>
      <c r="G94" s="51">
        <v>44931.004872685196</v>
      </c>
      <c r="H94" s="52">
        <v>3.0555555555559998E-3</v>
      </c>
      <c r="I94">
        <v>4.2500000447035002E-2</v>
      </c>
      <c r="J94">
        <v>8881.6288970665992</v>
      </c>
      <c r="K94">
        <v>181.34236036710899</v>
      </c>
    </row>
    <row r="95" spans="1:11" x14ac:dyDescent="0.25">
      <c r="A95" s="57" t="s">
        <v>0</v>
      </c>
      <c r="B95">
        <f>VLOOKUP(C95,'[2]Ensaio 1'!$A$2:$F$28,6,FALSE)</f>
        <v>2</v>
      </c>
      <c r="C95" s="36">
        <v>960000003688457</v>
      </c>
      <c r="D95" s="36">
        <v>960000003688457</v>
      </c>
      <c r="E95" s="1">
        <f t="shared" si="1"/>
        <v>44931</v>
      </c>
      <c r="F95" s="51">
        <v>44931.073784722197</v>
      </c>
      <c r="G95" s="51">
        <v>44931.076990740701</v>
      </c>
      <c r="H95" s="52">
        <v>2.7893518518520002E-3</v>
      </c>
      <c r="I95">
        <v>1.770833373069763</v>
      </c>
      <c r="J95">
        <v>8348.0859971289192</v>
      </c>
      <c r="K95">
        <v>173.15000399502901</v>
      </c>
    </row>
    <row r="96" spans="1:11" x14ac:dyDescent="0.25">
      <c r="A96" s="57" t="s">
        <v>0</v>
      </c>
      <c r="B96">
        <f>VLOOKUP(C96,'[2]Ensaio 1'!$A$2:$F$28,6,FALSE)</f>
        <v>2</v>
      </c>
      <c r="C96" s="36">
        <v>900248002084301</v>
      </c>
      <c r="D96" s="36">
        <v>900248002084301</v>
      </c>
      <c r="E96" s="1">
        <f t="shared" si="1"/>
        <v>44931</v>
      </c>
      <c r="F96" s="51">
        <v>44931.106597222199</v>
      </c>
      <c r="G96" s="51">
        <v>44931.111203703702</v>
      </c>
      <c r="H96" s="52">
        <v>3.773148148148E-3</v>
      </c>
      <c r="I96">
        <v>2.5583333969116211</v>
      </c>
      <c r="J96">
        <v>9923.3899901502791</v>
      </c>
      <c r="K96">
        <v>224.17889393930199</v>
      </c>
    </row>
    <row r="97" spans="1:11" x14ac:dyDescent="0.25">
      <c r="A97" s="57" t="s">
        <v>0</v>
      </c>
      <c r="B97">
        <f>VLOOKUP(C97,'[2]Ensaio 1'!$A$2:$F$28,6,FALSE)</f>
        <v>2</v>
      </c>
      <c r="C97" s="36">
        <v>960000003516311</v>
      </c>
      <c r="D97" s="36">
        <v>960000003516311</v>
      </c>
      <c r="E97" s="1">
        <f t="shared" si="1"/>
        <v>44931</v>
      </c>
      <c r="F97" s="51">
        <v>44931.289363425902</v>
      </c>
      <c r="G97" s="51">
        <v>44931.292685185203</v>
      </c>
      <c r="H97" s="52">
        <v>3.275462962963E-3</v>
      </c>
      <c r="I97">
        <v>6.9447221755981454</v>
      </c>
      <c r="J97">
        <v>8308.51629718818</v>
      </c>
      <c r="K97">
        <v>167.982297195809</v>
      </c>
    </row>
    <row r="98" spans="1:11" x14ac:dyDescent="0.25">
      <c r="A98" s="57" t="s">
        <v>0</v>
      </c>
      <c r="B98">
        <f>VLOOKUP(C98,'[2]Ensaio 1'!$A$2:$F$28,6,FALSE)</f>
        <v>2</v>
      </c>
      <c r="C98" s="36">
        <v>960000003688457</v>
      </c>
      <c r="D98" s="36">
        <v>960000003688457</v>
      </c>
      <c r="E98" s="1">
        <f t="shared" si="1"/>
        <v>44931</v>
      </c>
      <c r="F98" s="51">
        <v>44931.293900463003</v>
      </c>
      <c r="G98" s="51">
        <v>44931.297094907401</v>
      </c>
      <c r="H98" s="52">
        <v>2.638888888889E-3</v>
      </c>
      <c r="I98">
        <v>7.0536112785339364</v>
      </c>
      <c r="J98">
        <v>7059.5569968543296</v>
      </c>
      <c r="K98">
        <v>154.572900407844</v>
      </c>
    </row>
    <row r="99" spans="1:11" x14ac:dyDescent="0.25">
      <c r="A99" s="57" t="s">
        <v>0</v>
      </c>
      <c r="B99">
        <f>VLOOKUP(C99,'[2]Ensaio 1'!$A$2:$F$28,6,FALSE)</f>
        <v>2</v>
      </c>
      <c r="C99" s="36">
        <v>900248002084301</v>
      </c>
      <c r="D99" s="36">
        <v>900248002084301</v>
      </c>
      <c r="E99" s="1">
        <f t="shared" si="1"/>
        <v>44931</v>
      </c>
      <c r="F99" s="51">
        <v>44931.334895833301</v>
      </c>
      <c r="G99" s="51">
        <v>44931.338657407403</v>
      </c>
      <c r="H99" s="52">
        <v>3.6226851851850002E-3</v>
      </c>
      <c r="I99">
        <v>8.0375003814697266</v>
      </c>
      <c r="J99">
        <v>10010.807968126001</v>
      </c>
      <c r="K99">
        <v>208.93848320505501</v>
      </c>
    </row>
    <row r="100" spans="1:11" x14ac:dyDescent="0.25">
      <c r="A100" s="57" t="s">
        <v>0</v>
      </c>
      <c r="B100">
        <f>VLOOKUP(C100,'[2]Ensaio 1'!$A$2:$F$28,6,FALSE)</f>
        <v>2</v>
      </c>
      <c r="C100" s="36">
        <v>900248002085907</v>
      </c>
      <c r="D100" s="36">
        <v>900248002085907</v>
      </c>
      <c r="E100" s="1">
        <f t="shared" si="1"/>
        <v>44931</v>
      </c>
      <c r="F100" s="51">
        <v>44931.419282407398</v>
      </c>
      <c r="G100" s="51">
        <v>44931.423368055599</v>
      </c>
      <c r="H100" s="52">
        <v>3.9699074074069996E-3</v>
      </c>
      <c r="I100">
        <v>10.062777519226074</v>
      </c>
      <c r="J100">
        <v>8262.9743503861791</v>
      </c>
      <c r="K100">
        <v>186.181800363261</v>
      </c>
    </row>
    <row r="101" spans="1:11" x14ac:dyDescent="0.25">
      <c r="A101" s="57" t="s">
        <v>0</v>
      </c>
      <c r="B101">
        <f>VLOOKUP(C101,'[2]Ensaio 1'!$A$2:$F$28,6,FALSE)</f>
        <v>2</v>
      </c>
      <c r="C101" s="36">
        <v>960000003516311</v>
      </c>
      <c r="D101" s="36">
        <v>960000003516311</v>
      </c>
      <c r="E101" s="1">
        <f t="shared" si="1"/>
        <v>44931</v>
      </c>
      <c r="F101" s="51">
        <v>44931.575462963003</v>
      </c>
      <c r="G101" s="51">
        <v>44931.578854166699</v>
      </c>
      <c r="H101" s="52">
        <v>3.2986111111110001E-3</v>
      </c>
      <c r="I101">
        <v>13.811111450195313</v>
      </c>
      <c r="J101">
        <v>8727.7803868761002</v>
      </c>
      <c r="K101">
        <v>253.32809806792301</v>
      </c>
    </row>
    <row r="102" spans="1:11" x14ac:dyDescent="0.25">
      <c r="A102" s="57" t="s">
        <v>0</v>
      </c>
      <c r="B102">
        <f>VLOOKUP(C102,'[2]Ensaio 1'!$A$2:$F$28,6,FALSE)</f>
        <v>2</v>
      </c>
      <c r="C102" s="36">
        <v>900248002084301</v>
      </c>
      <c r="D102" s="36">
        <v>900248002084301</v>
      </c>
      <c r="E102" s="1">
        <f t="shared" si="1"/>
        <v>44931</v>
      </c>
      <c r="F102" s="51">
        <v>44931.582974536999</v>
      </c>
      <c r="G102" s="51">
        <v>44931.589120370401</v>
      </c>
      <c r="H102" s="52">
        <v>4.0393518518519996E-3</v>
      </c>
      <c r="I102">
        <v>13.991389274597168</v>
      </c>
      <c r="J102">
        <v>7997.6071001500304</v>
      </c>
      <c r="K102">
        <v>154.63321196151799</v>
      </c>
    </row>
    <row r="103" spans="1:11" x14ac:dyDescent="0.25">
      <c r="A103" s="57" t="s">
        <v>0</v>
      </c>
      <c r="B103">
        <f>VLOOKUP(C103,'[2]Ensaio 1'!$A$2:$F$28,6,FALSE)</f>
        <v>2</v>
      </c>
      <c r="C103" s="36">
        <v>960000003688457</v>
      </c>
      <c r="D103" s="36">
        <v>960000003688457</v>
      </c>
      <c r="E103" s="1">
        <f t="shared" si="1"/>
        <v>44931</v>
      </c>
      <c r="F103" s="51">
        <v>44931.601620370398</v>
      </c>
      <c r="G103" s="51">
        <v>44931.607731481497</v>
      </c>
      <c r="H103" s="52">
        <v>3.9236111111110002E-3</v>
      </c>
      <c r="I103">
        <v>14.438888549804688</v>
      </c>
      <c r="J103">
        <v>7002.29552587744</v>
      </c>
      <c r="K103">
        <v>165.66425840260999</v>
      </c>
    </row>
    <row r="104" spans="1:11" x14ac:dyDescent="0.25">
      <c r="A104" s="57" t="s">
        <v>0</v>
      </c>
      <c r="B104">
        <f>VLOOKUP(C104,'[2]Ensaio 1'!$A$2:$F$28,6,FALSE)</f>
        <v>2</v>
      </c>
      <c r="C104" s="36">
        <v>900248002085907</v>
      </c>
      <c r="D104" s="36">
        <v>900248002085907</v>
      </c>
      <c r="E104" s="1">
        <f t="shared" si="1"/>
        <v>44931</v>
      </c>
      <c r="F104" s="51">
        <v>44931.739768518499</v>
      </c>
      <c r="G104" s="51">
        <v>44931.743379629603</v>
      </c>
      <c r="H104" s="52">
        <v>3.4953703703700001E-3</v>
      </c>
      <c r="I104">
        <v>17.754444122314453</v>
      </c>
      <c r="J104">
        <v>10577.7263932736</v>
      </c>
      <c r="K104">
        <v>291.82227535434703</v>
      </c>
    </row>
    <row r="105" spans="1:11" x14ac:dyDescent="0.25">
      <c r="A105" s="57" t="s">
        <v>0</v>
      </c>
      <c r="B105">
        <f>VLOOKUP(C105,'[2]Ensaio 1'!$A$2:$F$28,6,FALSE)</f>
        <v>2</v>
      </c>
      <c r="C105" s="36">
        <v>960000003688457</v>
      </c>
      <c r="D105" s="36">
        <v>960000003688457</v>
      </c>
      <c r="E105" s="1">
        <f t="shared" si="1"/>
        <v>44931</v>
      </c>
      <c r="F105" s="51">
        <v>44931.844236111101</v>
      </c>
      <c r="G105" s="51">
        <v>44931.848391203697</v>
      </c>
      <c r="H105" s="52">
        <v>3.6458333333329999E-3</v>
      </c>
      <c r="I105">
        <v>20.261667251586914</v>
      </c>
      <c r="J105">
        <v>9424.9480927688892</v>
      </c>
      <c r="K105">
        <v>275.07889873252401</v>
      </c>
    </row>
    <row r="106" spans="1:11" x14ac:dyDescent="0.25">
      <c r="A106" s="57" t="s">
        <v>0</v>
      </c>
      <c r="B106">
        <f>VLOOKUP(C106,'[2]Ensaio 1'!$A$2:$F$28,6,FALSE)</f>
        <v>2</v>
      </c>
      <c r="C106" s="36">
        <v>960000003516311</v>
      </c>
      <c r="D106" s="36">
        <v>960000003516311</v>
      </c>
      <c r="E106" s="1">
        <f t="shared" si="1"/>
        <v>44931</v>
      </c>
      <c r="F106" s="51">
        <v>44931.964178240698</v>
      </c>
      <c r="G106" s="51">
        <v>44931.967141203699</v>
      </c>
      <c r="H106" s="52">
        <v>2.9282407407410001E-3</v>
      </c>
      <c r="I106">
        <v>23.140277862548828</v>
      </c>
      <c r="J106">
        <v>8785.0288819810994</v>
      </c>
      <c r="K106">
        <v>201.25967321472399</v>
      </c>
    </row>
    <row r="107" spans="1:11" x14ac:dyDescent="0.25">
      <c r="A107" s="57" t="s">
        <v>0</v>
      </c>
      <c r="B107">
        <f>VLOOKUP(C107,'[2]Ensaio 1'!$A$2:$F$28,6,FALSE)</f>
        <v>2</v>
      </c>
      <c r="C107" s="36">
        <v>900248002084301</v>
      </c>
      <c r="D107" s="36">
        <v>900248002084301</v>
      </c>
      <c r="E107" s="1">
        <f t="shared" si="1"/>
        <v>44931</v>
      </c>
      <c r="F107" s="51">
        <v>44931.999120370398</v>
      </c>
      <c r="G107" s="51">
        <v>44932.004050925898</v>
      </c>
      <c r="H107" s="52">
        <v>4.2592592592590002E-3</v>
      </c>
      <c r="I107">
        <v>23.978889465332031</v>
      </c>
      <c r="J107">
        <v>9022.6160424851896</v>
      </c>
      <c r="K107">
        <v>235.54333862174801</v>
      </c>
    </row>
    <row r="108" spans="1:11" x14ac:dyDescent="0.25">
      <c r="A108" s="57" t="s">
        <v>0</v>
      </c>
      <c r="B108">
        <f>VLOOKUP(C108,'[2]Ensaio 1'!$A$2:$F$28,6,FALSE)</f>
        <v>2</v>
      </c>
      <c r="C108" s="36">
        <v>960000003516311</v>
      </c>
      <c r="D108" s="36">
        <v>960000003516311</v>
      </c>
      <c r="E108" s="1">
        <f t="shared" si="1"/>
        <v>44932</v>
      </c>
      <c r="F108" s="51">
        <v>44932.006215277797</v>
      </c>
      <c r="G108" s="51">
        <v>44932.010173611103</v>
      </c>
      <c r="H108" s="52">
        <v>3.576388888889E-3</v>
      </c>
      <c r="I108">
        <v>0.14916667342185999</v>
      </c>
      <c r="J108">
        <v>9385.1871580902098</v>
      </c>
      <c r="K108">
        <v>198.69129940132399</v>
      </c>
    </row>
    <row r="109" spans="1:11" x14ac:dyDescent="0.25">
      <c r="A109" s="57" t="s">
        <v>0</v>
      </c>
      <c r="B109">
        <f>VLOOKUP(C109,'[2]Ensaio 1'!$A$2:$F$28,6,FALSE)</f>
        <v>2</v>
      </c>
      <c r="C109" s="36">
        <v>900248002085907</v>
      </c>
      <c r="D109" s="36">
        <v>900248002085907</v>
      </c>
      <c r="E109" s="1">
        <f t="shared" si="1"/>
        <v>44932</v>
      </c>
      <c r="F109" s="51">
        <v>44932.0699074074</v>
      </c>
      <c r="G109" s="51">
        <v>44932.073935185203</v>
      </c>
      <c r="H109" s="52">
        <v>3.541666666667E-3</v>
      </c>
      <c r="I109">
        <v>1.677777767181396</v>
      </c>
      <c r="J109">
        <v>8728.4064361229994</v>
      </c>
      <c r="K109">
        <v>184.566048494277</v>
      </c>
    </row>
    <row r="110" spans="1:11" x14ac:dyDescent="0.25">
      <c r="A110" s="57" t="s">
        <v>0</v>
      </c>
      <c r="B110">
        <f>VLOOKUP(C110,'[2]Ensaio 1'!$A$2:$F$28,6,FALSE)</f>
        <v>2</v>
      </c>
      <c r="C110" s="36">
        <v>960000003688457</v>
      </c>
      <c r="D110" s="36">
        <v>960000003688457</v>
      </c>
      <c r="E110" s="1">
        <f t="shared" si="1"/>
        <v>44932</v>
      </c>
      <c r="F110" s="51">
        <v>44932.082951388897</v>
      </c>
      <c r="G110" s="51">
        <v>44932.0860300926</v>
      </c>
      <c r="H110" s="52">
        <v>2.8819444444439998E-3</v>
      </c>
      <c r="I110">
        <v>1.9908332824707029</v>
      </c>
      <c r="J110">
        <v>9443.8771615537407</v>
      </c>
      <c r="K110">
        <v>187.79056277685501</v>
      </c>
    </row>
    <row r="111" spans="1:11" x14ac:dyDescent="0.25">
      <c r="A111" s="57" t="s">
        <v>0</v>
      </c>
      <c r="B111">
        <f>VLOOKUP(C111,'[2]Ensaio 1'!$A$2:$F$28,6,FALSE)</f>
        <v>2</v>
      </c>
      <c r="C111" s="36">
        <v>960000003516311</v>
      </c>
      <c r="D111" s="36">
        <v>960000003516311</v>
      </c>
      <c r="E111" s="1">
        <f t="shared" si="1"/>
        <v>44932</v>
      </c>
      <c r="F111" s="51">
        <v>44932.279143518499</v>
      </c>
      <c r="G111" s="51">
        <v>44932.287696759297</v>
      </c>
      <c r="H111" s="52">
        <v>3.773148148148E-3</v>
      </c>
      <c r="I111">
        <v>6.6994442939758301</v>
      </c>
      <c r="J111">
        <v>7940.0525372222501</v>
      </c>
      <c r="K111">
        <v>178.66867234927599</v>
      </c>
    </row>
    <row r="112" spans="1:11" x14ac:dyDescent="0.25">
      <c r="A112" s="57" t="s">
        <v>0</v>
      </c>
      <c r="B112">
        <f>VLOOKUP(C112,'[2]Ensaio 1'!$A$2:$F$28,6,FALSE)</f>
        <v>2</v>
      </c>
      <c r="C112" s="36">
        <v>900248002085907</v>
      </c>
      <c r="D112" s="36">
        <v>900248002085907</v>
      </c>
      <c r="E112" s="1">
        <f t="shared" si="1"/>
        <v>44932</v>
      </c>
      <c r="F112" s="51">
        <v>44932.289629629602</v>
      </c>
      <c r="G112" s="51">
        <v>44932.293252314797</v>
      </c>
      <c r="H112" s="52">
        <v>3.5185185185189999E-3</v>
      </c>
      <c r="I112">
        <v>6.9511113166809082</v>
      </c>
      <c r="J112">
        <v>8288.7744069541804</v>
      </c>
      <c r="K112">
        <v>174.17602902570999</v>
      </c>
    </row>
    <row r="113" spans="1:11" x14ac:dyDescent="0.25">
      <c r="A113" s="57" t="s">
        <v>0</v>
      </c>
      <c r="B113">
        <f>VLOOKUP(C113,'[2]Ensaio 1'!$A$2:$F$28,6,FALSE)</f>
        <v>2</v>
      </c>
      <c r="C113" s="36">
        <v>900248002084301</v>
      </c>
      <c r="D113" s="36">
        <v>900248002084301</v>
      </c>
      <c r="E113" s="1">
        <f t="shared" si="1"/>
        <v>44932</v>
      </c>
      <c r="F113" s="51">
        <v>44932.297048611101</v>
      </c>
      <c r="G113" s="51">
        <v>44932.300671296303</v>
      </c>
      <c r="H113" s="52">
        <v>3.5185185185189999E-3</v>
      </c>
      <c r="I113">
        <v>7.1291666030883789</v>
      </c>
      <c r="J113">
        <v>9392.0703298733206</v>
      </c>
      <c r="K113">
        <v>207.326754713512</v>
      </c>
    </row>
    <row r="114" spans="1:11" x14ac:dyDescent="0.25">
      <c r="A114" s="57" t="s">
        <v>0</v>
      </c>
      <c r="B114">
        <f>VLOOKUP(C114,'[2]Ensaio 1'!$A$2:$F$28,6,FALSE)</f>
        <v>2</v>
      </c>
      <c r="C114" s="36">
        <v>960000003688457</v>
      </c>
      <c r="D114" s="36">
        <v>960000003688457</v>
      </c>
      <c r="E114" s="1">
        <f t="shared" si="1"/>
        <v>44932</v>
      </c>
      <c r="F114" s="51">
        <v>44932.310231481497</v>
      </c>
      <c r="G114" s="51">
        <v>44932.3132638889</v>
      </c>
      <c r="H114" s="52">
        <v>2.835648148148E-3</v>
      </c>
      <c r="I114">
        <v>7.4455556869506836</v>
      </c>
      <c r="J114">
        <v>8091.9772804745999</v>
      </c>
      <c r="K114">
        <v>149.26157736255999</v>
      </c>
    </row>
    <row r="115" spans="1:11" x14ac:dyDescent="0.25">
      <c r="A115" s="57" t="s">
        <v>0</v>
      </c>
      <c r="B115">
        <f>VLOOKUP(C115,'[2]Ensaio 1'!$A$2:$F$28,6,FALSE)</f>
        <v>2</v>
      </c>
      <c r="C115" s="36">
        <v>900248002084301</v>
      </c>
      <c r="D115" s="36">
        <v>900248002084301</v>
      </c>
      <c r="E115" s="1">
        <f t="shared" si="1"/>
        <v>44932</v>
      </c>
      <c r="F115" s="51">
        <v>44932.570023148102</v>
      </c>
      <c r="G115" s="51">
        <v>44932.572141203702</v>
      </c>
      <c r="H115" s="52">
        <v>2.071759259259E-3</v>
      </c>
      <c r="I115">
        <v>13.68055534362793</v>
      </c>
      <c r="J115">
        <v>10405.6591921786</v>
      </c>
      <c r="K115">
        <v>229.674747208691</v>
      </c>
    </row>
    <row r="116" spans="1:11" x14ac:dyDescent="0.25">
      <c r="A116" s="57" t="s">
        <v>0</v>
      </c>
      <c r="B116">
        <f>VLOOKUP(C116,'[2]Ensaio 1'!$A$2:$F$28,6,FALSE)</f>
        <v>2</v>
      </c>
      <c r="C116" s="36">
        <v>960000003516311</v>
      </c>
      <c r="D116" s="36">
        <v>960000003516311</v>
      </c>
      <c r="E116" s="1">
        <f t="shared" si="1"/>
        <v>44932</v>
      </c>
      <c r="F116" s="51">
        <v>44932.573252314804</v>
      </c>
      <c r="G116" s="51">
        <v>44932.577789351897</v>
      </c>
      <c r="H116" s="52">
        <v>3.4259259259260002E-3</v>
      </c>
      <c r="I116">
        <v>13.758055686950684</v>
      </c>
      <c r="J116">
        <v>7131.3451716426298</v>
      </c>
      <c r="K116">
        <v>122.57546101250701</v>
      </c>
    </row>
    <row r="117" spans="1:11" x14ac:dyDescent="0.25">
      <c r="A117" s="57" t="s">
        <v>0</v>
      </c>
      <c r="B117">
        <f>VLOOKUP(C117,'[2]Ensaio 1'!$A$2:$F$28,6,FALSE)</f>
        <v>2</v>
      </c>
      <c r="C117" s="36">
        <v>960000003688457</v>
      </c>
      <c r="D117" s="36">
        <v>960000003688457</v>
      </c>
      <c r="E117" s="1">
        <f t="shared" si="1"/>
        <v>44932</v>
      </c>
      <c r="F117" s="51">
        <v>44932.683553240699</v>
      </c>
      <c r="G117" s="51">
        <v>44932.686481481498</v>
      </c>
      <c r="H117" s="52">
        <v>2.7777777777779999E-3</v>
      </c>
      <c r="I117">
        <v>16.405277252197266</v>
      </c>
      <c r="J117">
        <v>6931.7199701742502</v>
      </c>
      <c r="K117">
        <v>147.98482933196999</v>
      </c>
    </row>
    <row r="118" spans="1:11" x14ac:dyDescent="0.25">
      <c r="A118" s="57" t="s">
        <v>0</v>
      </c>
      <c r="B118">
        <f>VLOOKUP(C118,'[2]Ensaio 1'!$A$2:$F$28,6,FALSE)</f>
        <v>2</v>
      </c>
      <c r="C118" s="36">
        <v>900248002085907</v>
      </c>
      <c r="D118" s="36">
        <v>900248002085907</v>
      </c>
      <c r="E118" s="1">
        <f t="shared" si="1"/>
        <v>44932</v>
      </c>
      <c r="F118" s="51">
        <v>44932.717361111099</v>
      </c>
      <c r="G118" s="51">
        <v>44932.721412036997</v>
      </c>
      <c r="H118" s="52">
        <v>3.6805555555559999E-3</v>
      </c>
      <c r="I118">
        <v>17.216667175292969</v>
      </c>
      <c r="J118">
        <v>10105.732106007999</v>
      </c>
      <c r="K118">
        <v>262.35487266193701</v>
      </c>
    </row>
    <row r="119" spans="1:11" x14ac:dyDescent="0.25">
      <c r="A119" s="57" t="s">
        <v>0</v>
      </c>
      <c r="B119">
        <f>VLOOKUP(C119,'[2]Ensaio 1'!$A$2:$F$28,6,FALSE)</f>
        <v>2</v>
      </c>
      <c r="C119" s="36">
        <v>960000003516311</v>
      </c>
      <c r="D119" s="36">
        <v>960000003516311</v>
      </c>
      <c r="E119" s="1">
        <f t="shared" si="1"/>
        <v>44932</v>
      </c>
      <c r="F119" s="51">
        <v>44932.786585648202</v>
      </c>
      <c r="G119" s="51">
        <v>44932.790358796301</v>
      </c>
      <c r="H119" s="52">
        <v>3.4375E-3</v>
      </c>
      <c r="I119">
        <v>18.878055572509766</v>
      </c>
      <c r="J119">
        <v>8983.8933863486891</v>
      </c>
      <c r="K119">
        <v>195.58876625229999</v>
      </c>
    </row>
    <row r="120" spans="1:11" x14ac:dyDescent="0.25">
      <c r="A120" s="57" t="s">
        <v>0</v>
      </c>
      <c r="B120">
        <f>VLOOKUP(C120,'[2]Ensaio 1'!$A$2:$F$28,6,FALSE)</f>
        <v>2</v>
      </c>
      <c r="C120" s="36">
        <v>900248002084301</v>
      </c>
      <c r="D120" s="36">
        <v>900248002084301</v>
      </c>
      <c r="E120" s="1">
        <f t="shared" si="1"/>
        <v>44932</v>
      </c>
      <c r="F120" s="51">
        <v>44932.793136574102</v>
      </c>
      <c r="G120" s="51">
        <v>44932.7966087963</v>
      </c>
      <c r="H120" s="52">
        <v>3.4143518518519999E-3</v>
      </c>
      <c r="I120">
        <v>19.0352783203125</v>
      </c>
      <c r="J120">
        <v>10710.0146055855</v>
      </c>
      <c r="K120">
        <v>329.52848019165202</v>
      </c>
    </row>
    <row r="121" spans="1:11" x14ac:dyDescent="0.25">
      <c r="A121" s="57" t="s">
        <v>0</v>
      </c>
      <c r="B121">
        <f>VLOOKUP(C121,'[2]Ensaio 1'!$A$2:$F$28,6,FALSE)</f>
        <v>2</v>
      </c>
      <c r="C121" s="36">
        <v>960000003688457</v>
      </c>
      <c r="D121" s="36">
        <v>960000003688457</v>
      </c>
      <c r="E121" s="1">
        <f t="shared" si="1"/>
        <v>44932</v>
      </c>
      <c r="F121" s="51">
        <v>44932.895312499997</v>
      </c>
      <c r="G121" s="51">
        <v>44932.898229166698</v>
      </c>
      <c r="H121" s="52">
        <v>2.87037037037E-3</v>
      </c>
      <c r="I121">
        <v>21.487499237060547</v>
      </c>
      <c r="J121">
        <v>7367.382400382</v>
      </c>
      <c r="K121">
        <v>163.90396890602</v>
      </c>
    </row>
    <row r="122" spans="1:11" x14ac:dyDescent="0.25">
      <c r="A122" s="57" t="s">
        <v>0</v>
      </c>
      <c r="B122">
        <f>VLOOKUP(C122,'[2]Ensaio 1'!$A$2:$F$28,6,FALSE)</f>
        <v>2</v>
      </c>
      <c r="C122" s="36">
        <v>900248002084301</v>
      </c>
      <c r="D122" s="36">
        <v>900248002084301</v>
      </c>
      <c r="E122" s="1">
        <f t="shared" si="1"/>
        <v>44932</v>
      </c>
      <c r="F122" s="51">
        <v>44932.999930555598</v>
      </c>
      <c r="G122" s="51">
        <v>44933.002476851798</v>
      </c>
      <c r="H122" s="52">
        <v>2.4884259259260002E-3</v>
      </c>
      <c r="I122">
        <v>23.998332977294922</v>
      </c>
      <c r="J122">
        <v>11556.1048564557</v>
      </c>
      <c r="K122">
        <v>292.27607765793402</v>
      </c>
    </row>
    <row r="123" spans="1:11" x14ac:dyDescent="0.25">
      <c r="A123" s="57" t="s">
        <v>0</v>
      </c>
      <c r="B123">
        <f>VLOOKUP(C123,'[2]Ensaio 1'!$A$2:$F$28,6,FALSE)</f>
        <v>2</v>
      </c>
      <c r="C123" s="36">
        <v>960000003516311</v>
      </c>
      <c r="D123" s="36">
        <v>960000003516311</v>
      </c>
      <c r="E123" s="1">
        <f t="shared" si="1"/>
        <v>44933</v>
      </c>
      <c r="F123" s="51">
        <v>44933.003900463002</v>
      </c>
      <c r="G123" s="51">
        <v>44933.008194444403</v>
      </c>
      <c r="H123" s="52">
        <v>3.7615740740740001E-3</v>
      </c>
      <c r="I123">
        <v>9.3611113727093007E-2</v>
      </c>
      <c r="J123">
        <v>8743.2681569114993</v>
      </c>
      <c r="K123">
        <v>202.41518648144501</v>
      </c>
    </row>
    <row r="124" spans="1:11" x14ac:dyDescent="0.25">
      <c r="A124" s="57" t="s">
        <v>0</v>
      </c>
      <c r="B124">
        <f>VLOOKUP(C124,'[2]Ensaio 1'!$A$2:$F$28,6,FALSE)</f>
        <v>2</v>
      </c>
      <c r="C124" s="36">
        <v>900248002085907</v>
      </c>
      <c r="D124" s="36">
        <v>900248002085907</v>
      </c>
      <c r="E124" s="1">
        <f t="shared" si="1"/>
        <v>44933</v>
      </c>
      <c r="F124" s="51">
        <v>44933.010208333297</v>
      </c>
      <c r="G124" s="51">
        <v>44933.014074074097</v>
      </c>
      <c r="H124" s="52">
        <v>3.6458333333329999E-3</v>
      </c>
      <c r="I124">
        <v>0.245000004768372</v>
      </c>
      <c r="J124">
        <v>9146.6632344553509</v>
      </c>
      <c r="K124">
        <v>222.534809083536</v>
      </c>
    </row>
    <row r="125" spans="1:11" x14ac:dyDescent="0.25">
      <c r="A125" s="57" t="s">
        <v>0</v>
      </c>
      <c r="B125">
        <f>VLOOKUP(C125,'[2]Ensaio 1'!$A$2:$F$28,6,FALSE)</f>
        <v>2</v>
      </c>
      <c r="C125" s="36">
        <v>960000003688457</v>
      </c>
      <c r="D125" s="36">
        <v>960000003688457</v>
      </c>
      <c r="E125" s="1">
        <f t="shared" si="1"/>
        <v>44933</v>
      </c>
      <c r="F125" s="51">
        <v>44933.046620370398</v>
      </c>
      <c r="G125" s="51">
        <v>44933.050543981502</v>
      </c>
      <c r="H125" s="52">
        <v>3.1944444444440001E-3</v>
      </c>
      <c r="I125">
        <v>1.118888854980469</v>
      </c>
      <c r="J125">
        <v>8410.5652398783295</v>
      </c>
      <c r="K125">
        <v>204.547748715502</v>
      </c>
    </row>
    <row r="126" spans="1:11" x14ac:dyDescent="0.25">
      <c r="A126" s="57" t="s">
        <v>0</v>
      </c>
      <c r="B126">
        <f>VLOOKUP(C126,'[2]Ensaio 1'!$A$2:$F$28,6,FALSE)</f>
        <v>2</v>
      </c>
      <c r="C126" s="36">
        <v>900248002084301</v>
      </c>
      <c r="D126" s="36">
        <v>900248002084301</v>
      </c>
      <c r="E126" s="1">
        <f t="shared" si="1"/>
        <v>44933</v>
      </c>
      <c r="F126" s="51">
        <v>44933.081805555601</v>
      </c>
      <c r="G126" s="51">
        <v>44933.083437499998</v>
      </c>
      <c r="H126" s="52">
        <v>1.6087962962959999E-3</v>
      </c>
      <c r="I126">
        <v>1.963333368301392</v>
      </c>
      <c r="J126">
        <v>9453.9885975099096</v>
      </c>
      <c r="K126">
        <v>207.216528826158</v>
      </c>
    </row>
    <row r="127" spans="1:11" x14ac:dyDescent="0.25">
      <c r="A127" s="57" t="s">
        <v>0</v>
      </c>
      <c r="B127">
        <f>VLOOKUP(C127,'[2]Ensaio 1'!$A$2:$F$28,6,FALSE)</f>
        <v>2</v>
      </c>
      <c r="C127" s="36">
        <v>960000003516311</v>
      </c>
      <c r="D127" s="36">
        <v>960000003516311</v>
      </c>
      <c r="E127" s="1">
        <f t="shared" si="1"/>
        <v>44933</v>
      </c>
      <c r="F127" s="51">
        <v>44933.232685185198</v>
      </c>
      <c r="G127" s="51">
        <v>44933.236180555599</v>
      </c>
      <c r="H127" s="52">
        <v>3.4490740740739999E-3</v>
      </c>
      <c r="I127">
        <v>5.584444522857666</v>
      </c>
      <c r="J127">
        <v>8445.9919421955292</v>
      </c>
      <c r="K127">
        <v>196.10408213741999</v>
      </c>
    </row>
    <row r="128" spans="1:11" x14ac:dyDescent="0.25">
      <c r="A128" s="57" t="s">
        <v>0</v>
      </c>
      <c r="B128">
        <f>VLOOKUP(C128,'[2]Ensaio 1'!$A$2:$F$28,6,FALSE)</f>
        <v>2</v>
      </c>
      <c r="C128" s="36">
        <v>900248002085907</v>
      </c>
      <c r="D128" s="36">
        <v>900248002085907</v>
      </c>
      <c r="E128" s="1">
        <f t="shared" si="1"/>
        <v>44933</v>
      </c>
      <c r="F128" s="51">
        <v>44933.273125</v>
      </c>
      <c r="G128" s="51">
        <v>44933.276643518497</v>
      </c>
      <c r="H128" s="52">
        <v>3.4606481481480001E-3</v>
      </c>
      <c r="I128">
        <v>6.554999828338623</v>
      </c>
      <c r="J128">
        <v>8864.5565680433101</v>
      </c>
      <c r="K128">
        <v>199.78656531591099</v>
      </c>
    </row>
    <row r="129" spans="1:11" x14ac:dyDescent="0.25">
      <c r="A129" s="57" t="s">
        <v>0</v>
      </c>
      <c r="B129">
        <f>VLOOKUP(C129,'[2]Ensaio 1'!$A$2:$F$28,6,FALSE)</f>
        <v>2</v>
      </c>
      <c r="C129" s="36">
        <v>960000003688457</v>
      </c>
      <c r="D129" s="36">
        <v>960000003688457</v>
      </c>
      <c r="E129" s="1">
        <f t="shared" si="1"/>
        <v>44933</v>
      </c>
      <c r="F129" s="51">
        <v>44933.2887037037</v>
      </c>
      <c r="G129" s="51">
        <v>44933.293831018498</v>
      </c>
      <c r="H129" s="52">
        <v>3.1481481481479999E-3</v>
      </c>
      <c r="I129">
        <v>6.9288887977600098</v>
      </c>
      <c r="J129">
        <v>7773.1711732653503</v>
      </c>
      <c r="K129">
        <v>168.06459678213699</v>
      </c>
    </row>
    <row r="130" spans="1:11" x14ac:dyDescent="0.25">
      <c r="A130" s="57" t="s">
        <v>0</v>
      </c>
      <c r="B130">
        <f>VLOOKUP(C130,'[2]Ensaio 1'!$A$2:$F$28,6,FALSE)</f>
        <v>2</v>
      </c>
      <c r="C130" s="36">
        <v>900248002084301</v>
      </c>
      <c r="D130" s="36">
        <v>900248002084301</v>
      </c>
      <c r="E130" s="1">
        <f t="shared" ref="E130:E193" si="2">ROUNDDOWN(LEFT(F130,10),0)</f>
        <v>44933</v>
      </c>
      <c r="F130" s="51">
        <v>44933.304004629601</v>
      </c>
      <c r="G130" s="51">
        <v>44933.308564814797</v>
      </c>
      <c r="H130" s="52">
        <v>4.3981481481480001E-3</v>
      </c>
      <c r="I130">
        <v>7.2961111068725586</v>
      </c>
      <c r="J130">
        <v>8764.8706246197708</v>
      </c>
      <c r="K130">
        <v>133.99849181763599</v>
      </c>
    </row>
    <row r="131" spans="1:11" x14ac:dyDescent="0.25">
      <c r="A131" s="57" t="s">
        <v>0</v>
      </c>
      <c r="B131">
        <f>VLOOKUP(C131,'[2]Ensaio 1'!$A$2:$F$28,6,FALSE)</f>
        <v>2</v>
      </c>
      <c r="C131" s="36">
        <v>960000003516311</v>
      </c>
      <c r="D131" s="36">
        <v>960000003516311</v>
      </c>
      <c r="E131" s="1">
        <f t="shared" si="2"/>
        <v>44933</v>
      </c>
      <c r="F131" s="51">
        <v>44933.563125000001</v>
      </c>
      <c r="G131" s="51">
        <v>44933.566145833298</v>
      </c>
      <c r="H131" s="52">
        <v>2.9513888888889998E-3</v>
      </c>
      <c r="I131">
        <v>13.515000343322754</v>
      </c>
      <c r="J131">
        <v>8774.8427990944092</v>
      </c>
      <c r="K131">
        <v>181.35191084614701</v>
      </c>
    </row>
    <row r="132" spans="1:11" x14ac:dyDescent="0.25">
      <c r="A132" s="57" t="s">
        <v>0</v>
      </c>
      <c r="B132">
        <f>VLOOKUP(C132,'[2]Ensaio 1'!$A$2:$F$28,6,FALSE)</f>
        <v>2</v>
      </c>
      <c r="C132" s="36">
        <v>900248002084301</v>
      </c>
      <c r="D132" s="36">
        <v>900248002084301</v>
      </c>
      <c r="E132" s="1">
        <f t="shared" si="2"/>
        <v>44933</v>
      </c>
      <c r="F132" s="51">
        <v>44933.572546296302</v>
      </c>
      <c r="G132" s="51">
        <v>44933.575891203698</v>
      </c>
      <c r="H132" s="52">
        <v>2.6273148148150001E-3</v>
      </c>
      <c r="I132">
        <v>13.741110801696777</v>
      </c>
      <c r="J132">
        <v>11836.2552719903</v>
      </c>
      <c r="K132">
        <v>319.14080833174103</v>
      </c>
    </row>
    <row r="133" spans="1:11" x14ac:dyDescent="0.25">
      <c r="A133" s="57" t="s">
        <v>0</v>
      </c>
      <c r="B133">
        <f>VLOOKUP(C133,'[2]Ensaio 1'!$A$2:$F$28,6,FALSE)</f>
        <v>2</v>
      </c>
      <c r="C133" s="36">
        <v>960000003688457</v>
      </c>
      <c r="D133" s="36">
        <v>960000003688457</v>
      </c>
      <c r="E133" s="1">
        <f t="shared" si="2"/>
        <v>44933</v>
      </c>
      <c r="F133" s="51">
        <v>44933.601550925901</v>
      </c>
      <c r="G133" s="51">
        <v>44933.605486111097</v>
      </c>
      <c r="H133" s="52">
        <v>3.8541666666669998E-3</v>
      </c>
      <c r="I133">
        <v>14.437222480773926</v>
      </c>
      <c r="J133">
        <v>7690.1507068040601</v>
      </c>
      <c r="K133">
        <v>158.481459209001</v>
      </c>
    </row>
    <row r="134" spans="1:11" x14ac:dyDescent="0.25">
      <c r="A134" s="57" t="s">
        <v>0</v>
      </c>
      <c r="B134">
        <f>VLOOKUP(C134,'[2]Ensaio 1'!$A$2:$F$28,6,FALSE)</f>
        <v>2</v>
      </c>
      <c r="C134" s="36">
        <v>900248002085907</v>
      </c>
      <c r="D134" s="36">
        <v>900248002085907</v>
      </c>
      <c r="E134" s="1">
        <f t="shared" si="2"/>
        <v>44933</v>
      </c>
      <c r="F134" s="51">
        <v>44933.690138888902</v>
      </c>
      <c r="G134" s="51">
        <v>44933.693634259304</v>
      </c>
      <c r="H134" s="52">
        <v>3.3564814814810002E-3</v>
      </c>
      <c r="I134">
        <v>16.563333511352539</v>
      </c>
      <c r="J134">
        <v>9714.8722535270899</v>
      </c>
      <c r="K134">
        <v>233.97651526127399</v>
      </c>
    </row>
    <row r="135" spans="1:11" x14ac:dyDescent="0.25">
      <c r="A135" s="57" t="s">
        <v>0</v>
      </c>
      <c r="B135">
        <f>VLOOKUP(C135,'[2]Ensaio 1'!$A$2:$F$28,6,FALSE)</f>
        <v>2</v>
      </c>
      <c r="C135" s="36">
        <v>960000003827747</v>
      </c>
      <c r="D135" s="36">
        <v>960000003827747</v>
      </c>
      <c r="E135" s="1">
        <f t="shared" si="2"/>
        <v>44933</v>
      </c>
      <c r="F135" s="51">
        <v>44933.741840277798</v>
      </c>
      <c r="G135" s="51">
        <v>44933.745509259301</v>
      </c>
      <c r="H135" s="52">
        <v>3.506944444444E-3</v>
      </c>
      <c r="I135">
        <v>17.804166793823242</v>
      </c>
      <c r="J135">
        <v>10224.097723462501</v>
      </c>
      <c r="K135">
        <v>229.654065307151</v>
      </c>
    </row>
    <row r="136" spans="1:11" x14ac:dyDescent="0.25">
      <c r="A136" s="57" t="s">
        <v>0</v>
      </c>
      <c r="B136">
        <f>VLOOKUP(C136,'[2]Ensaio 1'!$A$2:$F$28,6,FALSE)</f>
        <v>2</v>
      </c>
      <c r="C136" s="36">
        <v>960000003688457</v>
      </c>
      <c r="D136" s="36">
        <v>960000003688457</v>
      </c>
      <c r="E136" s="1">
        <f t="shared" si="2"/>
        <v>44933</v>
      </c>
      <c r="F136" s="51">
        <v>44933.747187499997</v>
      </c>
      <c r="G136" s="51">
        <v>44933.749398148102</v>
      </c>
      <c r="H136" s="52">
        <v>1.6666666666670001E-3</v>
      </c>
      <c r="I136">
        <v>17.932500839233398</v>
      </c>
      <c r="J136">
        <v>6864.2404095435904</v>
      </c>
      <c r="K136">
        <v>166.38485184180999</v>
      </c>
    </row>
    <row r="137" spans="1:11" x14ac:dyDescent="0.25">
      <c r="A137" s="57" t="s">
        <v>0</v>
      </c>
      <c r="B137">
        <f>VLOOKUP(C137,'[2]Ensaio 1'!$A$2:$F$28,6,FALSE)</f>
        <v>2</v>
      </c>
      <c r="C137" s="36">
        <v>900248002084301</v>
      </c>
      <c r="D137" s="36">
        <v>900248002084301</v>
      </c>
      <c r="E137" s="1">
        <f t="shared" si="2"/>
        <v>44933</v>
      </c>
      <c r="F137" s="51">
        <v>44933.800868055601</v>
      </c>
      <c r="G137" s="51">
        <v>44933.803437499999</v>
      </c>
      <c r="H137" s="52">
        <v>2.3263888888890001E-3</v>
      </c>
      <c r="I137">
        <v>19.220832824707031</v>
      </c>
      <c r="J137">
        <v>9674.3057930608393</v>
      </c>
      <c r="K137">
        <v>245.27457611205099</v>
      </c>
    </row>
    <row r="138" spans="1:11" x14ac:dyDescent="0.25">
      <c r="A138" s="57" t="s">
        <v>0</v>
      </c>
      <c r="B138">
        <f>VLOOKUP(C138,'[2]Ensaio 1'!$A$2:$F$28,6,FALSE)</f>
        <v>2</v>
      </c>
      <c r="C138" s="36">
        <v>960000003516311</v>
      </c>
      <c r="D138" s="36">
        <v>960000003516311</v>
      </c>
      <c r="E138" s="1">
        <f t="shared" si="2"/>
        <v>44933</v>
      </c>
      <c r="F138" s="51">
        <v>44933.808171296303</v>
      </c>
      <c r="G138" s="51">
        <v>44933.811701388899</v>
      </c>
      <c r="H138" s="52">
        <v>2.8819444444439998E-3</v>
      </c>
      <c r="I138">
        <v>19.396110534667969</v>
      </c>
      <c r="J138">
        <v>9373.4897799906394</v>
      </c>
      <c r="K138">
        <v>245.71476355631401</v>
      </c>
    </row>
    <row r="139" spans="1:11" x14ac:dyDescent="0.25">
      <c r="A139" s="57" t="s">
        <v>0</v>
      </c>
      <c r="B139">
        <f>VLOOKUP(C139,'[2]Ensaio 1'!$A$2:$F$28,6,FALSE)</f>
        <v>2</v>
      </c>
      <c r="C139" s="36">
        <v>960000003688457</v>
      </c>
      <c r="D139" s="36">
        <v>960000003688457</v>
      </c>
      <c r="E139" s="1">
        <f t="shared" si="2"/>
        <v>44933</v>
      </c>
      <c r="F139" s="51">
        <v>44933.889386574097</v>
      </c>
      <c r="G139" s="51">
        <v>44933.893807870401</v>
      </c>
      <c r="H139" s="52">
        <v>3.206018518519E-3</v>
      </c>
      <c r="I139">
        <v>21.345277786254883</v>
      </c>
      <c r="J139">
        <v>7809.3234349412496</v>
      </c>
      <c r="K139">
        <v>166.162067023368</v>
      </c>
    </row>
    <row r="140" spans="1:11" x14ac:dyDescent="0.25">
      <c r="A140" s="57" t="s">
        <v>0</v>
      </c>
      <c r="B140">
        <f>VLOOKUP(C140,'[2]Ensaio 1'!$A$2:$F$28,6,FALSE)</f>
        <v>2</v>
      </c>
      <c r="C140" s="36">
        <v>960000003516311</v>
      </c>
      <c r="D140" s="36">
        <v>960000003516311</v>
      </c>
      <c r="E140" s="1">
        <f t="shared" si="2"/>
        <v>44933</v>
      </c>
      <c r="F140" s="51">
        <v>44933.997106481504</v>
      </c>
      <c r="G140" s="51">
        <v>44934.009976851798</v>
      </c>
      <c r="H140" s="52">
        <v>4.8148148148149999E-3</v>
      </c>
      <c r="I140">
        <v>23.93055534362793</v>
      </c>
      <c r="J140">
        <v>7859.6259604596999</v>
      </c>
      <c r="K140">
        <v>131.467489019993</v>
      </c>
    </row>
    <row r="141" spans="1:11" x14ac:dyDescent="0.25">
      <c r="A141" s="57" t="s">
        <v>0</v>
      </c>
      <c r="B141">
        <f>VLOOKUP(C141,'[2]Ensaio 1'!$A$2:$F$28,6,FALSE)</f>
        <v>2</v>
      </c>
      <c r="C141" s="36">
        <v>900248002084301</v>
      </c>
      <c r="D141" s="36">
        <v>900248002084301</v>
      </c>
      <c r="E141" s="1">
        <f t="shared" si="2"/>
        <v>44934</v>
      </c>
      <c r="F141" s="51">
        <v>44934.015347222201</v>
      </c>
      <c r="G141" s="51">
        <v>44934.019212963001</v>
      </c>
      <c r="H141" s="52">
        <v>3.541666666667E-3</v>
      </c>
      <c r="I141">
        <v>0.368333339691162</v>
      </c>
      <c r="J141">
        <v>10032.269650009801</v>
      </c>
      <c r="K141">
        <v>224.37655672086001</v>
      </c>
    </row>
    <row r="142" spans="1:11" x14ac:dyDescent="0.25">
      <c r="A142" s="57" t="s">
        <v>0</v>
      </c>
      <c r="B142">
        <f>VLOOKUP(C142,'[2]Ensaio 1'!$A$2:$F$28,6,FALSE)</f>
        <v>2</v>
      </c>
      <c r="C142" s="36">
        <v>960000003688457</v>
      </c>
      <c r="D142" s="36">
        <v>960000003688457</v>
      </c>
      <c r="E142" s="1">
        <f t="shared" si="2"/>
        <v>44934</v>
      </c>
      <c r="F142" s="51">
        <v>44934.0316550926</v>
      </c>
      <c r="G142" s="51">
        <v>44934.035046296303</v>
      </c>
      <c r="H142" s="52">
        <v>3.171296296296E-3</v>
      </c>
      <c r="I142">
        <v>0.75972223281860396</v>
      </c>
      <c r="J142">
        <v>8095.5288641015604</v>
      </c>
      <c r="K142">
        <v>194.47457892778999</v>
      </c>
    </row>
    <row r="143" spans="1:11" x14ac:dyDescent="0.25">
      <c r="A143" s="57" t="s">
        <v>0</v>
      </c>
      <c r="B143">
        <f>VLOOKUP(C143,'[2]Ensaio 1'!$A$2:$F$28,6,FALSE)</f>
        <v>2</v>
      </c>
      <c r="C143" s="36">
        <v>900248002085907</v>
      </c>
      <c r="D143" s="36">
        <v>900248002085907</v>
      </c>
      <c r="E143" s="1">
        <f t="shared" si="2"/>
        <v>44934</v>
      </c>
      <c r="F143" s="51">
        <v>44934.096226851798</v>
      </c>
      <c r="G143" s="51">
        <v>44934.099791666697</v>
      </c>
      <c r="H143" s="52">
        <v>3.4953703703700001E-3</v>
      </c>
      <c r="I143">
        <v>2.3094444274902339</v>
      </c>
      <c r="J143">
        <v>9190.0810801454008</v>
      </c>
      <c r="K143">
        <v>177.239525356923</v>
      </c>
    </row>
    <row r="144" spans="1:11" x14ac:dyDescent="0.25">
      <c r="A144" s="57" t="s">
        <v>0</v>
      </c>
      <c r="B144">
        <f>VLOOKUP(C144,'[2]Ensaio 1'!$A$2:$F$28,6,FALSE)</f>
        <v>2</v>
      </c>
      <c r="C144" s="36">
        <v>960000003516311</v>
      </c>
      <c r="D144" s="36">
        <v>960000003516311</v>
      </c>
      <c r="E144" s="1">
        <f t="shared" si="2"/>
        <v>44934</v>
      </c>
      <c r="F144" s="51">
        <v>44934.2896064815</v>
      </c>
      <c r="G144" s="51">
        <v>44934.292638888903</v>
      </c>
      <c r="H144" s="52">
        <v>2.939814814815E-3</v>
      </c>
      <c r="I144">
        <v>6.9505553245544434</v>
      </c>
      <c r="J144">
        <v>7176.1659419805801</v>
      </c>
      <c r="K144">
        <v>100.323561708225</v>
      </c>
    </row>
    <row r="145" spans="1:11" x14ac:dyDescent="0.25">
      <c r="A145" s="57" t="s">
        <v>0</v>
      </c>
      <c r="B145">
        <f>VLOOKUP(C145,'[2]Ensaio 1'!$A$2:$F$28,6,FALSE)</f>
        <v>2</v>
      </c>
      <c r="C145" s="36">
        <v>960000003688457</v>
      </c>
      <c r="D145" s="36">
        <v>960000003688457</v>
      </c>
      <c r="E145" s="1">
        <f t="shared" si="2"/>
        <v>44934</v>
      </c>
      <c r="F145" s="51">
        <v>44934.293993055602</v>
      </c>
      <c r="G145" s="51">
        <v>44934.297349537002</v>
      </c>
      <c r="H145" s="52">
        <v>2.8009259259260001E-3</v>
      </c>
      <c r="I145">
        <v>7.0558333396911621</v>
      </c>
      <c r="J145">
        <v>6816.2320217834103</v>
      </c>
      <c r="K145">
        <v>209.69546163850799</v>
      </c>
    </row>
    <row r="146" spans="1:11" x14ac:dyDescent="0.25">
      <c r="A146" s="57" t="s">
        <v>0</v>
      </c>
      <c r="B146">
        <f>VLOOKUP(C146,'[2]Ensaio 1'!$A$2:$F$28,6,FALSE)</f>
        <v>2</v>
      </c>
      <c r="C146" s="36">
        <v>900248002085907</v>
      </c>
      <c r="D146" s="36">
        <v>900248002085907</v>
      </c>
      <c r="E146" s="1">
        <f t="shared" si="2"/>
        <v>44934</v>
      </c>
      <c r="F146" s="51">
        <v>44934.333171296297</v>
      </c>
      <c r="G146" s="51">
        <v>44934.336215277799</v>
      </c>
      <c r="H146" s="52">
        <v>2.9976851851850001E-3</v>
      </c>
      <c r="I146">
        <v>7.9961109161376953</v>
      </c>
      <c r="J146">
        <v>8909.6287680795704</v>
      </c>
      <c r="K146">
        <v>184.4640010176</v>
      </c>
    </row>
    <row r="147" spans="1:11" x14ac:dyDescent="0.25">
      <c r="A147" s="57" t="s">
        <v>0</v>
      </c>
      <c r="B147">
        <f>VLOOKUP(C147,'[2]Ensaio 1'!$A$2:$F$28,6,FALSE)</f>
        <v>2</v>
      </c>
      <c r="C147" s="36">
        <v>900248002084301</v>
      </c>
      <c r="D147" s="36">
        <v>900248002084301</v>
      </c>
      <c r="E147" s="1">
        <f t="shared" si="2"/>
        <v>44934</v>
      </c>
      <c r="F147" s="51">
        <v>44934.353032407402</v>
      </c>
      <c r="G147" s="51">
        <v>44934.356851851902</v>
      </c>
      <c r="H147" s="52">
        <v>3.4837962962959998E-3</v>
      </c>
      <c r="I147">
        <v>8.4727773666381836</v>
      </c>
      <c r="J147">
        <v>8081.2015238562999</v>
      </c>
      <c r="K147">
        <v>147.158390337659</v>
      </c>
    </row>
    <row r="148" spans="1:11" x14ac:dyDescent="0.25">
      <c r="A148" s="57" t="s">
        <v>0</v>
      </c>
      <c r="B148">
        <f>VLOOKUP(C148,'[2]Ensaio 1'!$A$2:$F$28,6,FALSE)</f>
        <v>2</v>
      </c>
      <c r="C148" s="36">
        <v>960000003516311</v>
      </c>
      <c r="D148" s="36">
        <v>960000003516311</v>
      </c>
      <c r="E148" s="1">
        <f t="shared" si="2"/>
        <v>44934</v>
      </c>
      <c r="F148" s="51">
        <v>44934.525462963</v>
      </c>
      <c r="G148" s="51">
        <v>44934.534710648099</v>
      </c>
      <c r="H148" s="52">
        <v>3.1018518518520001E-3</v>
      </c>
      <c r="I148">
        <v>12.611110687255859</v>
      </c>
      <c r="J148">
        <v>7158.8461054567997</v>
      </c>
      <c r="K148">
        <v>142.980671936421</v>
      </c>
    </row>
    <row r="149" spans="1:11" x14ac:dyDescent="0.25">
      <c r="A149" s="57" t="s">
        <v>0</v>
      </c>
      <c r="B149">
        <f>VLOOKUP(C149,'[2]Ensaio 1'!$A$2:$F$28,6,FALSE)</f>
        <v>2</v>
      </c>
      <c r="C149" s="36">
        <v>900248002084301</v>
      </c>
      <c r="D149" s="36">
        <v>900248002084301</v>
      </c>
      <c r="E149" s="1">
        <f t="shared" si="2"/>
        <v>44934</v>
      </c>
      <c r="F149" s="51">
        <v>44934.611273148097</v>
      </c>
      <c r="G149" s="51">
        <v>44934.614259259302</v>
      </c>
      <c r="H149" s="52">
        <v>2.0833333333329998E-3</v>
      </c>
      <c r="I149">
        <v>14.670555114746094</v>
      </c>
      <c r="J149">
        <v>9914.8121521171306</v>
      </c>
      <c r="K149">
        <v>191.93753446052099</v>
      </c>
    </row>
    <row r="150" spans="1:11" x14ac:dyDescent="0.25">
      <c r="A150" s="57" t="s">
        <v>0</v>
      </c>
      <c r="B150">
        <f>VLOOKUP(C150,'[2]Ensaio 1'!$A$2:$F$28,6,FALSE)</f>
        <v>2</v>
      </c>
      <c r="C150" s="36">
        <v>960000003688457</v>
      </c>
      <c r="D150" s="36">
        <v>960000003688457</v>
      </c>
      <c r="E150" s="1">
        <f t="shared" si="2"/>
        <v>44934</v>
      </c>
      <c r="F150" s="51">
        <v>44934.631782407399</v>
      </c>
      <c r="G150" s="51">
        <v>44934.635023148097</v>
      </c>
      <c r="H150" s="52">
        <v>3.1018518518520001E-3</v>
      </c>
      <c r="I150">
        <v>15.162777900695801</v>
      </c>
      <c r="J150">
        <v>6286.0341384945104</v>
      </c>
      <c r="K150">
        <v>143.883349710884</v>
      </c>
    </row>
    <row r="151" spans="1:11" x14ac:dyDescent="0.25">
      <c r="A151" s="57" t="s">
        <v>0</v>
      </c>
      <c r="B151">
        <f>VLOOKUP(C151,'[2]Ensaio 1'!$A$2:$F$28,6,FALSE)</f>
        <v>2</v>
      </c>
      <c r="C151" s="36">
        <v>900248002085907</v>
      </c>
      <c r="D151" s="36">
        <v>900248002085907</v>
      </c>
      <c r="E151" s="1">
        <f t="shared" si="2"/>
        <v>44934</v>
      </c>
      <c r="F151" s="51">
        <v>44934.637037036999</v>
      </c>
      <c r="G151" s="51">
        <v>44934.640729166698</v>
      </c>
      <c r="H151" s="52">
        <v>3.6111111111109999E-3</v>
      </c>
      <c r="I151">
        <v>15.288888931274414</v>
      </c>
      <c r="J151">
        <v>8039.9104525017801</v>
      </c>
      <c r="K151">
        <v>173.21180063088801</v>
      </c>
    </row>
    <row r="152" spans="1:11" x14ac:dyDescent="0.25">
      <c r="A152" s="57" t="s">
        <v>0</v>
      </c>
      <c r="B152">
        <f>VLOOKUP(C152,'[2]Ensaio 1'!$A$2:$F$28,6,FALSE)</f>
        <v>2</v>
      </c>
      <c r="C152" s="36">
        <v>960000003688457</v>
      </c>
      <c r="D152" s="36">
        <v>960000003688457</v>
      </c>
      <c r="E152" s="1">
        <f t="shared" si="2"/>
        <v>44934</v>
      </c>
      <c r="F152" s="51">
        <v>44934.673414351899</v>
      </c>
      <c r="G152" s="51">
        <v>44934.675057870401</v>
      </c>
      <c r="H152" s="52">
        <v>1.62037037037E-3</v>
      </c>
      <c r="I152">
        <v>16.161945343017578</v>
      </c>
      <c r="J152">
        <v>4627.5180041656204</v>
      </c>
      <c r="K152">
        <v>114.63065521086401</v>
      </c>
    </row>
    <row r="153" spans="1:11" x14ac:dyDescent="0.25">
      <c r="A153" s="57" t="s">
        <v>0</v>
      </c>
      <c r="B153">
        <f>VLOOKUP(C153,'[2]Ensaio 1'!$A$2:$F$28,6,FALSE)</f>
        <v>2</v>
      </c>
      <c r="C153" s="36">
        <v>960000003827747</v>
      </c>
      <c r="D153" s="36">
        <v>960000003827747</v>
      </c>
      <c r="E153" s="1">
        <f t="shared" si="2"/>
        <v>44934</v>
      </c>
      <c r="F153" s="51">
        <v>44934.753125000003</v>
      </c>
      <c r="G153" s="51">
        <v>44934.761481481502</v>
      </c>
      <c r="H153" s="52">
        <v>4.606481481481E-3</v>
      </c>
      <c r="I153">
        <v>18.075000762939453</v>
      </c>
      <c r="J153">
        <v>9038.8362564513009</v>
      </c>
      <c r="K153">
        <v>173.72818608439999</v>
      </c>
    </row>
    <row r="154" spans="1:11" x14ac:dyDescent="0.25">
      <c r="A154" s="57" t="s">
        <v>0</v>
      </c>
      <c r="B154">
        <f>VLOOKUP(C154,'[2]Ensaio 1'!$A$2:$F$28,6,FALSE)</f>
        <v>2</v>
      </c>
      <c r="C154" s="36">
        <v>960000003516311</v>
      </c>
      <c r="D154" s="36">
        <v>960000003516311</v>
      </c>
      <c r="E154" s="1">
        <f t="shared" si="2"/>
        <v>44934</v>
      </c>
      <c r="F154" s="51">
        <v>44934.771157407398</v>
      </c>
      <c r="G154" s="51">
        <v>44934.774351851898</v>
      </c>
      <c r="H154" s="52">
        <v>3.0555555555559998E-3</v>
      </c>
      <c r="I154">
        <v>18.507778167724609</v>
      </c>
      <c r="J154">
        <v>8033.7366976050498</v>
      </c>
      <c r="K154">
        <v>170.61611328434</v>
      </c>
    </row>
    <row r="155" spans="1:11" x14ac:dyDescent="0.25">
      <c r="A155" s="57" t="s">
        <v>0</v>
      </c>
      <c r="B155">
        <f>VLOOKUP(C155,'[2]Ensaio 1'!$A$2:$F$28,6,FALSE)</f>
        <v>2</v>
      </c>
      <c r="C155" s="36">
        <v>900248002084301</v>
      </c>
      <c r="D155" s="36">
        <v>900248002084301</v>
      </c>
      <c r="E155" s="1">
        <f t="shared" si="2"/>
        <v>44934</v>
      </c>
      <c r="F155" s="51">
        <v>44934.898784722202</v>
      </c>
      <c r="G155" s="51">
        <v>44934.902280092603</v>
      </c>
      <c r="H155" s="52">
        <v>3.4259259259260002E-3</v>
      </c>
      <c r="I155">
        <v>21.570833206176758</v>
      </c>
      <c r="J155">
        <v>8988.0101026252105</v>
      </c>
      <c r="K155">
        <v>187.28473124244599</v>
      </c>
    </row>
    <row r="156" spans="1:11" x14ac:dyDescent="0.25">
      <c r="A156" s="57" t="s">
        <v>0</v>
      </c>
      <c r="B156">
        <f>VLOOKUP(C156,'[2]Ensaio 1'!$A$2:$F$28,6,FALSE)</f>
        <v>2</v>
      </c>
      <c r="C156" s="36">
        <v>960000003688457</v>
      </c>
      <c r="D156" s="36">
        <v>960000003688457</v>
      </c>
      <c r="E156" s="1">
        <f t="shared" si="2"/>
        <v>44934</v>
      </c>
      <c r="F156" s="51">
        <v>44934.909108796302</v>
      </c>
      <c r="G156" s="51">
        <v>44934.912164351903</v>
      </c>
      <c r="H156" s="52">
        <v>2.9629629629630001E-3</v>
      </c>
      <c r="I156">
        <v>21.818611145019531</v>
      </c>
      <c r="J156">
        <v>8446.9280753105995</v>
      </c>
      <c r="K156">
        <v>206.86957511824099</v>
      </c>
    </row>
    <row r="157" spans="1:11" x14ac:dyDescent="0.25">
      <c r="A157" s="57" t="s">
        <v>0</v>
      </c>
      <c r="B157">
        <f>VLOOKUP(C157,'[2]Ensaio 1'!$A$2:$F$28,6,FALSE)</f>
        <v>2</v>
      </c>
      <c r="C157" s="36">
        <v>900248002085907</v>
      </c>
      <c r="D157" s="36">
        <v>900248002085907</v>
      </c>
      <c r="E157" s="1">
        <f t="shared" si="2"/>
        <v>44934</v>
      </c>
      <c r="F157" s="51">
        <v>44934.945034722201</v>
      </c>
      <c r="G157" s="51">
        <v>44934.948240740698</v>
      </c>
      <c r="H157" s="52">
        <v>3.1597222222220001E-3</v>
      </c>
      <c r="I157">
        <v>22.68083381652832</v>
      </c>
      <c r="J157">
        <v>8697.1770522302504</v>
      </c>
      <c r="K157">
        <v>205.845689445163</v>
      </c>
    </row>
    <row r="158" spans="1:11" x14ac:dyDescent="0.25">
      <c r="A158" s="57" t="s">
        <v>0</v>
      </c>
      <c r="B158">
        <f>VLOOKUP(C158,'[2]Ensaio 1'!$A$2:$F$28,6,FALSE)</f>
        <v>2</v>
      </c>
      <c r="C158" s="36">
        <v>960000003516311</v>
      </c>
      <c r="D158" s="36">
        <v>960000003516311</v>
      </c>
      <c r="E158" s="1">
        <f t="shared" si="2"/>
        <v>44935</v>
      </c>
      <c r="F158" s="51">
        <v>44935.051307870403</v>
      </c>
      <c r="G158" s="51">
        <v>44935.053842592599</v>
      </c>
      <c r="H158" s="52">
        <v>2.5000000000000001E-3</v>
      </c>
      <c r="I158">
        <v>1.231388926506042</v>
      </c>
      <c r="J158">
        <v>9388.7930054463795</v>
      </c>
      <c r="K158">
        <v>185.003438561004</v>
      </c>
    </row>
    <row r="159" spans="1:11" x14ac:dyDescent="0.25">
      <c r="A159" s="57" t="s">
        <v>0</v>
      </c>
      <c r="B159">
        <f>VLOOKUP(C159,'[2]Ensaio 1'!$A$2:$F$28,6,FALSE)</f>
        <v>2</v>
      </c>
      <c r="C159" s="36">
        <v>900248002084301</v>
      </c>
      <c r="D159" s="36">
        <v>900248002084301</v>
      </c>
      <c r="E159" s="1">
        <f t="shared" si="2"/>
        <v>44935</v>
      </c>
      <c r="F159" s="51">
        <v>44935.055</v>
      </c>
      <c r="G159" s="51">
        <v>44935.061759259297</v>
      </c>
      <c r="H159" s="52">
        <v>6.006944444444E-3</v>
      </c>
      <c r="I159">
        <v>1.320000052452087</v>
      </c>
      <c r="J159">
        <v>12332.286666189701</v>
      </c>
      <c r="K159">
        <v>273.08199247031399</v>
      </c>
    </row>
    <row r="160" spans="1:11" x14ac:dyDescent="0.25">
      <c r="A160" s="57" t="s">
        <v>0</v>
      </c>
      <c r="B160">
        <f>VLOOKUP(C160,'[2]Ensaio 1'!$A$2:$F$28,6,FALSE)</f>
        <v>2</v>
      </c>
      <c r="C160" s="36">
        <v>960000003688457</v>
      </c>
      <c r="D160" s="36">
        <v>960000003688457</v>
      </c>
      <c r="E160" s="1">
        <f t="shared" si="2"/>
        <v>44935</v>
      </c>
      <c r="F160" s="51">
        <v>44935.062465277799</v>
      </c>
      <c r="G160" s="51">
        <v>44935.066851851901</v>
      </c>
      <c r="H160" s="52">
        <v>2.372685185185E-3</v>
      </c>
      <c r="I160">
        <v>1.49916660785675</v>
      </c>
      <c r="J160">
        <v>7439.8600655699902</v>
      </c>
      <c r="K160">
        <v>143.74025961412499</v>
      </c>
    </row>
    <row r="161" spans="1:11" x14ac:dyDescent="0.25">
      <c r="A161" s="57" t="s">
        <v>0</v>
      </c>
      <c r="B161">
        <f>VLOOKUP(C161,'[2]Ensaio 1'!$A$2:$F$28,6,FALSE)</f>
        <v>2</v>
      </c>
      <c r="C161" s="36">
        <v>900248002085907</v>
      </c>
      <c r="D161" s="36">
        <v>900248002085907</v>
      </c>
      <c r="E161" s="1">
        <f t="shared" si="2"/>
        <v>44935</v>
      </c>
      <c r="F161" s="51">
        <v>44935.068148148202</v>
      </c>
      <c r="G161" s="51">
        <v>44935.071956018503</v>
      </c>
      <c r="H161" s="52">
        <v>3.541666666667E-3</v>
      </c>
      <c r="I161">
        <v>1.635555505752563</v>
      </c>
      <c r="J161">
        <v>8659.6805302438697</v>
      </c>
      <c r="K161">
        <v>224.76901491181499</v>
      </c>
    </row>
    <row r="162" spans="1:11" x14ac:dyDescent="0.25">
      <c r="A162" s="57" t="s">
        <v>0</v>
      </c>
      <c r="B162">
        <f>VLOOKUP(C162,'[2]Ensaio 1'!$A$2:$F$28,6,FALSE)</f>
        <v>2</v>
      </c>
      <c r="C162" s="36">
        <v>960000003516311</v>
      </c>
      <c r="D162" s="36">
        <v>960000003516311</v>
      </c>
      <c r="E162" s="1">
        <f t="shared" si="2"/>
        <v>44935</v>
      </c>
      <c r="F162" s="51">
        <v>44935.2633796296</v>
      </c>
      <c r="G162" s="51">
        <v>44935.266828703701</v>
      </c>
      <c r="H162" s="52">
        <v>2.9861111111109998E-3</v>
      </c>
      <c r="I162">
        <v>6.3211112022399902</v>
      </c>
      <c r="J162">
        <v>6956.0988495449201</v>
      </c>
      <c r="K162">
        <v>111.006297738588</v>
      </c>
    </row>
    <row r="163" spans="1:11" x14ac:dyDescent="0.25">
      <c r="A163" s="57" t="s">
        <v>0</v>
      </c>
      <c r="B163">
        <f>VLOOKUP(C163,'[2]Ensaio 1'!$A$2:$F$28,6,FALSE)</f>
        <v>2</v>
      </c>
      <c r="C163" s="36">
        <v>900248002084301</v>
      </c>
      <c r="D163" s="36">
        <v>900248002084301</v>
      </c>
      <c r="E163" s="1">
        <f t="shared" si="2"/>
        <v>44935</v>
      </c>
      <c r="F163" s="51">
        <v>44935.326712962997</v>
      </c>
      <c r="G163" s="51">
        <v>44935.328206018501</v>
      </c>
      <c r="H163" s="52">
        <v>1.4467592592590001E-3</v>
      </c>
      <c r="I163">
        <v>7.8411111831665039</v>
      </c>
      <c r="J163">
        <v>12862.729971033301</v>
      </c>
      <c r="K163">
        <v>230.123898006004</v>
      </c>
    </row>
    <row r="164" spans="1:11" x14ac:dyDescent="0.25">
      <c r="A164" s="57" t="s">
        <v>0</v>
      </c>
      <c r="B164">
        <f>VLOOKUP(C164,'[2]Ensaio 1'!$A$2:$F$28,6,FALSE)</f>
        <v>2</v>
      </c>
      <c r="C164" s="36">
        <v>960000003688457</v>
      </c>
      <c r="D164" s="36">
        <v>960000003688457</v>
      </c>
      <c r="E164" s="1">
        <f t="shared" si="2"/>
        <v>44935</v>
      </c>
      <c r="F164" s="51">
        <v>44935.338946759301</v>
      </c>
      <c r="G164" s="51">
        <v>44935.342326388898</v>
      </c>
      <c r="H164" s="52">
        <v>2.9513888888889998E-3</v>
      </c>
      <c r="I164">
        <v>8.1347217559814453</v>
      </c>
      <c r="J164">
        <v>6753.8931897247003</v>
      </c>
      <c r="K164">
        <v>152.765222671072</v>
      </c>
    </row>
    <row r="165" spans="1:11" x14ac:dyDescent="0.25">
      <c r="A165" s="57" t="s">
        <v>0</v>
      </c>
      <c r="B165">
        <f>VLOOKUP(C165,'[2]Ensaio 1'!$A$2:$F$28,6,FALSE)</f>
        <v>2</v>
      </c>
      <c r="C165" s="36">
        <v>900248002084301</v>
      </c>
      <c r="D165" s="36">
        <v>900248002084301</v>
      </c>
      <c r="E165" s="1">
        <f t="shared" si="2"/>
        <v>44935</v>
      </c>
      <c r="F165" s="51">
        <v>44935.345775463</v>
      </c>
      <c r="G165" s="51">
        <v>44935.347326388903</v>
      </c>
      <c r="H165" s="52">
        <v>1.5277777777779999E-3</v>
      </c>
      <c r="I165">
        <v>8.2986106872558594</v>
      </c>
      <c r="J165">
        <v>10117.8987017203</v>
      </c>
      <c r="K165">
        <v>196.753208519683</v>
      </c>
    </row>
    <row r="166" spans="1:11" x14ac:dyDescent="0.25">
      <c r="A166" t="s">
        <v>0</v>
      </c>
      <c r="B166">
        <f>VLOOKUP(C166,'[2]Ensaio 1'!$A$2:$F$28,6,FALSE)</f>
        <v>2</v>
      </c>
      <c r="C166" s="36">
        <v>900248002085907</v>
      </c>
      <c r="D166" s="36">
        <v>900248002085907</v>
      </c>
      <c r="E166" s="1">
        <f t="shared" si="2"/>
        <v>44935</v>
      </c>
      <c r="F166" s="51">
        <v>44935.355486111097</v>
      </c>
      <c r="G166" s="51">
        <v>44935.358993055597</v>
      </c>
      <c r="H166" s="52">
        <v>3.4490740740739999E-3</v>
      </c>
      <c r="I166">
        <v>8.5316667556762695</v>
      </c>
      <c r="J166">
        <v>9258.3495477810993</v>
      </c>
      <c r="K166">
        <v>180.54526043904099</v>
      </c>
    </row>
    <row r="167" spans="1:11" x14ac:dyDescent="0.25">
      <c r="A167" t="str">
        <f>VLOOKUP(C167,'[2]Ensaio 1'!$A$2:$E$28,5,FALSE)</f>
        <v>Control</v>
      </c>
      <c r="B167">
        <f>VLOOKUP(C167,'[2]Ensaio 1'!$A$2:$F$28,6,FALSE)</f>
        <v>3</v>
      </c>
      <c r="C167" s="36">
        <v>960000003608633</v>
      </c>
      <c r="D167" s="36">
        <v>960000003608633</v>
      </c>
      <c r="E167" s="1">
        <f t="shared" si="2"/>
        <v>44935</v>
      </c>
      <c r="F167" s="51">
        <v>44935.441157407397</v>
      </c>
      <c r="G167" s="51">
        <v>44935.444675925901</v>
      </c>
      <c r="H167" s="52">
        <v>2.9629629629630001E-3</v>
      </c>
      <c r="I167">
        <v>10.587778091430664</v>
      </c>
      <c r="J167">
        <v>8486.5770232529594</v>
      </c>
      <c r="K167">
        <v>68.301129206268499</v>
      </c>
    </row>
    <row r="168" spans="1:11" x14ac:dyDescent="0.25">
      <c r="A168" t="str">
        <f>VLOOKUP(C168,'[2]Ensaio 1'!$A$2:$E$28,5,FALSE)</f>
        <v>Control</v>
      </c>
      <c r="B168">
        <f>VLOOKUP(C168,'[2]Ensaio 1'!$A$2:$F$28,6,FALSE)</f>
        <v>3</v>
      </c>
      <c r="C168" s="36">
        <v>900248002084626</v>
      </c>
      <c r="D168" s="36">
        <v>900248002084626</v>
      </c>
      <c r="E168" s="1">
        <f t="shared" si="2"/>
        <v>44935</v>
      </c>
      <c r="F168" s="51">
        <v>44935.447858796302</v>
      </c>
      <c r="G168" s="51">
        <v>44935.451249999998</v>
      </c>
      <c r="H168" s="52">
        <v>3.240740740741E-3</v>
      </c>
      <c r="I168">
        <v>10.748611450195313</v>
      </c>
      <c r="J168">
        <v>9900.3413533409403</v>
      </c>
      <c r="K168">
        <v>134.67462491103601</v>
      </c>
    </row>
    <row r="169" spans="1:11" x14ac:dyDescent="0.25">
      <c r="A169" t="str">
        <f>VLOOKUP(C169,'[2]Ensaio 1'!$A$2:$E$28,5,FALSE)</f>
        <v>Control</v>
      </c>
      <c r="B169">
        <f>VLOOKUP(C169,'[2]Ensaio 1'!$A$2:$F$28,6,FALSE)</f>
        <v>3</v>
      </c>
      <c r="C169" s="36">
        <v>960000003664778</v>
      </c>
      <c r="D169" s="36">
        <v>960000003664778</v>
      </c>
      <c r="E169" s="1">
        <f t="shared" si="2"/>
        <v>44935</v>
      </c>
      <c r="F169" s="51">
        <v>44935.454594907402</v>
      </c>
      <c r="G169" s="51">
        <v>44935.4596296296</v>
      </c>
      <c r="H169" s="52">
        <v>3.634259259259E-3</v>
      </c>
      <c r="I169">
        <v>10.910277366638184</v>
      </c>
      <c r="J169">
        <v>7548.3832962904298</v>
      </c>
      <c r="K169">
        <v>133.276605115096</v>
      </c>
    </row>
    <row r="170" spans="1:11" x14ac:dyDescent="0.25">
      <c r="A170" t="str">
        <f>VLOOKUP(C170,'[2]Ensaio 1'!$A$2:$E$28,5,FALSE)</f>
        <v>Control</v>
      </c>
      <c r="B170">
        <f>VLOOKUP(C170,'[2]Ensaio 1'!$A$2:$F$28,6,FALSE)</f>
        <v>3</v>
      </c>
      <c r="C170" s="36">
        <v>960000003688522</v>
      </c>
      <c r="D170" s="36">
        <v>960000003688522</v>
      </c>
      <c r="E170" s="1">
        <f t="shared" si="2"/>
        <v>44935</v>
      </c>
      <c r="F170" s="51">
        <v>44935.482280092598</v>
      </c>
      <c r="G170" s="51">
        <v>44935.488310185203</v>
      </c>
      <c r="H170" s="52">
        <v>2.6273148148150001E-3</v>
      </c>
      <c r="I170">
        <v>11.574722290039063</v>
      </c>
      <c r="J170">
        <v>7366.8398913988103</v>
      </c>
      <c r="K170">
        <v>81.131150260891204</v>
      </c>
    </row>
    <row r="171" spans="1:11" x14ac:dyDescent="0.25">
      <c r="A171" t="str">
        <f>VLOOKUP(C171,'[2]Ensaio 1'!$A$2:$E$28,5,FALSE)</f>
        <v>Control</v>
      </c>
      <c r="B171">
        <f>VLOOKUP(C171,'[2]Ensaio 1'!$A$2:$F$28,6,FALSE)</f>
        <v>3</v>
      </c>
      <c r="C171" s="36">
        <v>960000003827766</v>
      </c>
      <c r="D171" s="36">
        <v>960000003827766</v>
      </c>
      <c r="E171" s="1">
        <f t="shared" si="2"/>
        <v>44935</v>
      </c>
      <c r="F171" s="51">
        <v>44935.582488425898</v>
      </c>
      <c r="G171" s="51">
        <v>44935.586724537003</v>
      </c>
      <c r="H171" s="52">
        <v>3.6805555555559999E-3</v>
      </c>
      <c r="I171">
        <v>13.979722023010254</v>
      </c>
      <c r="J171">
        <v>7748.72953605159</v>
      </c>
      <c r="K171">
        <v>53.4197145153178</v>
      </c>
    </row>
    <row r="172" spans="1:11" x14ac:dyDescent="0.25">
      <c r="A172" t="str">
        <f>VLOOKUP(C172,'[2]Ensaio 1'!$A$2:$E$28,5,FALSE)</f>
        <v>Control</v>
      </c>
      <c r="B172">
        <f>VLOOKUP(C172,'[2]Ensaio 1'!$A$2:$F$28,6,FALSE)</f>
        <v>3</v>
      </c>
      <c r="C172" s="36">
        <v>960000003608633</v>
      </c>
      <c r="D172" s="36">
        <v>960000003608633</v>
      </c>
      <c r="E172" s="1">
        <f t="shared" si="2"/>
        <v>44935</v>
      </c>
      <c r="F172" s="51">
        <v>44935.656145833302</v>
      </c>
      <c r="G172" s="51">
        <v>44935.660358796304</v>
      </c>
      <c r="H172" s="52">
        <v>4.1550925925929998E-3</v>
      </c>
      <c r="I172">
        <v>15.747500419616699</v>
      </c>
      <c r="J172">
        <v>8336.9184651842897</v>
      </c>
      <c r="K172">
        <v>113.0018701775</v>
      </c>
    </row>
    <row r="173" spans="1:11" x14ac:dyDescent="0.25">
      <c r="A173" t="str">
        <f>VLOOKUP(C173,'[2]Ensaio 1'!$A$2:$E$28,5,FALSE)</f>
        <v>Control</v>
      </c>
      <c r="B173">
        <f>VLOOKUP(C173,'[2]Ensaio 1'!$A$2:$F$28,6,FALSE)</f>
        <v>3</v>
      </c>
      <c r="C173" s="36">
        <v>960000003664778</v>
      </c>
      <c r="D173" s="36">
        <v>960000003664778</v>
      </c>
      <c r="E173" s="1">
        <f t="shared" si="2"/>
        <v>44935</v>
      </c>
      <c r="F173" s="51">
        <v>44935.6780208333</v>
      </c>
      <c r="G173" s="51">
        <v>44935.685266203698</v>
      </c>
      <c r="H173" s="52">
        <v>4.3287037037040002E-3</v>
      </c>
      <c r="I173">
        <v>16.272499084472656</v>
      </c>
      <c r="J173">
        <v>5098.0551908786001</v>
      </c>
      <c r="K173">
        <v>105.686995967081</v>
      </c>
    </row>
    <row r="174" spans="1:11" x14ac:dyDescent="0.25">
      <c r="A174" t="str">
        <f>VLOOKUP(C174,'[2]Ensaio 1'!$A$2:$E$28,5,FALSE)</f>
        <v>Control</v>
      </c>
      <c r="B174">
        <f>VLOOKUP(C174,'[2]Ensaio 1'!$A$2:$F$28,6,FALSE)</f>
        <v>3</v>
      </c>
      <c r="C174" s="36">
        <v>960000003608633</v>
      </c>
      <c r="D174" s="36">
        <v>960000003608633</v>
      </c>
      <c r="E174" s="1">
        <f t="shared" si="2"/>
        <v>44935</v>
      </c>
      <c r="F174" s="51">
        <v>44935.699918981503</v>
      </c>
      <c r="G174" s="51">
        <v>44935.701446759304</v>
      </c>
      <c r="H174" s="52">
        <v>1.50462962963E-3</v>
      </c>
      <c r="I174">
        <v>16.798055648803711</v>
      </c>
      <c r="J174">
        <v>8281.6225445751807</v>
      </c>
      <c r="K174">
        <v>130.92918156581601</v>
      </c>
    </row>
    <row r="175" spans="1:11" x14ac:dyDescent="0.25">
      <c r="A175" t="str">
        <f>VLOOKUP(C175,'[2]Ensaio 1'!$A$2:$E$28,5,FALSE)</f>
        <v>Control</v>
      </c>
      <c r="B175">
        <f>VLOOKUP(C175,'[2]Ensaio 1'!$A$2:$F$28,6,FALSE)</f>
        <v>3</v>
      </c>
      <c r="C175" s="36">
        <v>960000003688522</v>
      </c>
      <c r="D175" s="36">
        <v>960000003688522</v>
      </c>
      <c r="E175" s="1">
        <f t="shared" si="2"/>
        <v>44935</v>
      </c>
      <c r="F175" s="51">
        <v>44935.7168171296</v>
      </c>
      <c r="G175" s="51">
        <v>44935.721365740697</v>
      </c>
      <c r="H175" s="52">
        <v>3.333333333333E-3</v>
      </c>
      <c r="I175">
        <v>17.203611373901367</v>
      </c>
      <c r="J175">
        <v>7939.5292801525502</v>
      </c>
      <c r="K175">
        <v>92.007398124203803</v>
      </c>
    </row>
    <row r="176" spans="1:11" x14ac:dyDescent="0.25">
      <c r="A176" t="str">
        <f>VLOOKUP(C176,'[2]Ensaio 1'!$A$2:$E$28,5,FALSE)</f>
        <v>Control</v>
      </c>
      <c r="B176">
        <f>VLOOKUP(C176,'[2]Ensaio 1'!$A$2:$F$28,6,FALSE)</f>
        <v>3</v>
      </c>
      <c r="C176" s="36">
        <v>900248002084626</v>
      </c>
      <c r="D176" s="36">
        <v>900248002084626</v>
      </c>
      <c r="E176" s="1">
        <f t="shared" si="2"/>
        <v>44935</v>
      </c>
      <c r="F176" s="51">
        <v>44935.728148148097</v>
      </c>
      <c r="G176" s="51">
        <v>44935.731689814798</v>
      </c>
      <c r="H176" s="52">
        <v>3.3449074074069999E-3</v>
      </c>
      <c r="I176">
        <v>17.475555419921875</v>
      </c>
      <c r="J176">
        <v>11009.7570555691</v>
      </c>
      <c r="K176">
        <v>185.29465372145299</v>
      </c>
    </row>
    <row r="177" spans="1:11" x14ac:dyDescent="0.25">
      <c r="A177" t="str">
        <f>VLOOKUP(C177,'[2]Ensaio 1'!$A$2:$E$28,5,FALSE)</f>
        <v>Control</v>
      </c>
      <c r="B177">
        <f>VLOOKUP(C177,'[2]Ensaio 1'!$A$2:$F$28,6,FALSE)</f>
        <v>3</v>
      </c>
      <c r="C177" s="36">
        <v>960000003827766</v>
      </c>
      <c r="D177" s="36">
        <v>960000003827766</v>
      </c>
      <c r="E177" s="1">
        <f t="shared" si="2"/>
        <v>44935</v>
      </c>
      <c r="F177" s="51">
        <v>44935.859120370398</v>
      </c>
      <c r="G177" s="51">
        <v>44935.863298611097</v>
      </c>
      <c r="H177" s="52">
        <v>3.8541666666669998E-3</v>
      </c>
      <c r="I177">
        <v>20.618888854980469</v>
      </c>
      <c r="J177">
        <v>8746.2707871681796</v>
      </c>
      <c r="K177">
        <v>86.9844314144744</v>
      </c>
    </row>
    <row r="178" spans="1:11" x14ac:dyDescent="0.25">
      <c r="A178" t="str">
        <f>VLOOKUP(C178,'[2]Ensaio 1'!$A$2:$E$28,5,FALSE)</f>
        <v>Control</v>
      </c>
      <c r="B178">
        <f>VLOOKUP(C178,'[2]Ensaio 1'!$A$2:$F$28,6,FALSE)</f>
        <v>3</v>
      </c>
      <c r="C178" s="36">
        <v>960000003608633</v>
      </c>
      <c r="D178" s="36">
        <v>960000003608633</v>
      </c>
      <c r="E178" s="1">
        <f t="shared" si="2"/>
        <v>44935</v>
      </c>
      <c r="F178" s="51">
        <v>44935.915127314802</v>
      </c>
      <c r="G178" s="51">
        <v>44935.919826388897</v>
      </c>
      <c r="H178" s="52">
        <v>4.0277777777779997E-3</v>
      </c>
      <c r="I178">
        <v>21.963054656982422</v>
      </c>
      <c r="J178">
        <v>9453.3797450777092</v>
      </c>
      <c r="K178">
        <v>74.2610341685523</v>
      </c>
    </row>
    <row r="179" spans="1:11" x14ac:dyDescent="0.25">
      <c r="A179" t="str">
        <f>VLOOKUP(C179,'[2]Ensaio 1'!$A$2:$E$28,5,FALSE)</f>
        <v>Control</v>
      </c>
      <c r="B179">
        <f>VLOOKUP(C179,'[2]Ensaio 1'!$A$2:$F$28,6,FALSE)</f>
        <v>3</v>
      </c>
      <c r="C179" s="36">
        <v>960000003688522</v>
      </c>
      <c r="D179" s="36">
        <v>960000003688522</v>
      </c>
      <c r="E179" s="1">
        <f t="shared" si="2"/>
        <v>44936</v>
      </c>
      <c r="F179" s="51">
        <v>44936.009687500002</v>
      </c>
      <c r="G179" s="51">
        <v>44936.012766203698</v>
      </c>
      <c r="H179" s="52">
        <v>2.743055555556E-3</v>
      </c>
      <c r="I179">
        <v>0.23250000178813901</v>
      </c>
      <c r="J179">
        <v>7651.3859150650496</v>
      </c>
      <c r="K179">
        <v>75.272773184641594</v>
      </c>
    </row>
    <row r="180" spans="1:11" x14ac:dyDescent="0.25">
      <c r="A180" t="str">
        <f>VLOOKUP(C180,'[2]Ensaio 1'!$A$2:$E$28,5,FALSE)</f>
        <v>Control</v>
      </c>
      <c r="B180">
        <f>VLOOKUP(C180,'[2]Ensaio 1'!$A$2:$F$28,6,FALSE)</f>
        <v>3</v>
      </c>
      <c r="C180" s="36">
        <v>960000003664778</v>
      </c>
      <c r="D180" s="36">
        <v>960000003664778</v>
      </c>
      <c r="E180" s="1">
        <f t="shared" si="2"/>
        <v>44936</v>
      </c>
      <c r="F180" s="51">
        <v>44936.014733796299</v>
      </c>
      <c r="G180" s="51">
        <v>44936.020775463003</v>
      </c>
      <c r="H180" s="52">
        <v>4.340277777778E-3</v>
      </c>
      <c r="I180">
        <v>0.35361111164093001</v>
      </c>
      <c r="J180">
        <v>8140.36453712607</v>
      </c>
      <c r="K180">
        <v>88.641374320402605</v>
      </c>
    </row>
    <row r="181" spans="1:11" x14ac:dyDescent="0.25">
      <c r="A181" t="str">
        <f>VLOOKUP(C181,'[2]Ensaio 1'!$A$2:$E$28,5,FALSE)</f>
        <v>Control</v>
      </c>
      <c r="B181">
        <f>VLOOKUP(C181,'[2]Ensaio 1'!$A$2:$F$28,6,FALSE)</f>
        <v>3</v>
      </c>
      <c r="C181" s="36">
        <v>960000003827766</v>
      </c>
      <c r="D181" s="36">
        <v>960000003827766</v>
      </c>
      <c r="E181" s="1">
        <f t="shared" si="2"/>
        <v>44936</v>
      </c>
      <c r="F181" s="51">
        <v>44936.030381944402</v>
      </c>
      <c r="G181" s="51">
        <v>44936.034351851798</v>
      </c>
      <c r="H181" s="52">
        <v>3.9004629629630001E-3</v>
      </c>
      <c r="I181">
        <v>0.72916668653488204</v>
      </c>
      <c r="J181">
        <v>7999.9845784502704</v>
      </c>
      <c r="K181">
        <v>66.450602021017303</v>
      </c>
    </row>
    <row r="182" spans="1:11" x14ac:dyDescent="0.25">
      <c r="A182" t="str">
        <f>VLOOKUP(C182,'[2]Ensaio 1'!$A$2:$E$28,5,FALSE)</f>
        <v>Control</v>
      </c>
      <c r="B182">
        <f>VLOOKUP(C182,'[2]Ensaio 1'!$A$2:$F$28,6,FALSE)</f>
        <v>3</v>
      </c>
      <c r="C182" s="36">
        <v>960000003608633</v>
      </c>
      <c r="D182" s="36">
        <v>960000003608633</v>
      </c>
      <c r="E182" s="1">
        <f t="shared" si="2"/>
        <v>44936</v>
      </c>
      <c r="F182" s="51">
        <v>44936.113217592603</v>
      </c>
      <c r="G182" s="51">
        <v>44936.118055555598</v>
      </c>
      <c r="H182" s="52">
        <v>3.8888888888889998E-3</v>
      </c>
      <c r="I182">
        <v>2.7172222137451172</v>
      </c>
      <c r="J182">
        <v>8173.9375547272302</v>
      </c>
      <c r="K182">
        <v>60.396482820648899</v>
      </c>
    </row>
    <row r="183" spans="1:11" x14ac:dyDescent="0.25">
      <c r="A183" t="str">
        <f>VLOOKUP(C183,'[2]Ensaio 1'!$A$2:$E$28,5,FALSE)</f>
        <v>Control</v>
      </c>
      <c r="B183">
        <f>VLOOKUP(C183,'[2]Ensaio 1'!$A$2:$F$28,6,FALSE)</f>
        <v>3</v>
      </c>
      <c r="C183" s="36">
        <v>900248002084626</v>
      </c>
      <c r="D183" s="36">
        <v>900248002084626</v>
      </c>
      <c r="E183" s="1">
        <f t="shared" si="2"/>
        <v>44936</v>
      </c>
      <c r="F183" s="51">
        <v>44936.1874074074</v>
      </c>
      <c r="G183" s="51">
        <v>44936.190949074102</v>
      </c>
      <c r="H183" s="52">
        <v>3.275462962963E-3</v>
      </c>
      <c r="I183">
        <v>4.4977779388427734</v>
      </c>
      <c r="J183">
        <v>9713.9394648497091</v>
      </c>
      <c r="K183">
        <v>194.70786527499101</v>
      </c>
    </row>
    <row r="184" spans="1:11" x14ac:dyDescent="0.25">
      <c r="A184" t="str">
        <f>VLOOKUP(C184,'[2]Ensaio 1'!$A$2:$E$28,5,FALSE)</f>
        <v>Control</v>
      </c>
      <c r="B184">
        <f>VLOOKUP(C184,'[2]Ensaio 1'!$A$2:$F$28,6,FALSE)</f>
        <v>3</v>
      </c>
      <c r="C184" s="36">
        <v>960000003827766</v>
      </c>
      <c r="D184" s="36">
        <v>960000003827766</v>
      </c>
      <c r="E184" s="1">
        <f t="shared" si="2"/>
        <v>44936</v>
      </c>
      <c r="F184" s="51">
        <v>44936.278599537</v>
      </c>
      <c r="G184" s="51">
        <v>44936.283645833297</v>
      </c>
      <c r="H184" s="52">
        <v>3.9120370370370004E-3</v>
      </c>
      <c r="I184">
        <v>6.6863889694213867</v>
      </c>
      <c r="J184">
        <v>6948.1882421990704</v>
      </c>
      <c r="K184">
        <v>63.027204734786302</v>
      </c>
    </row>
    <row r="185" spans="1:11" x14ac:dyDescent="0.25">
      <c r="A185" t="str">
        <f>VLOOKUP(C185,'[2]Ensaio 1'!$A$2:$E$28,5,FALSE)</f>
        <v>Control</v>
      </c>
      <c r="B185">
        <f>VLOOKUP(C185,'[2]Ensaio 1'!$A$2:$F$28,6,FALSE)</f>
        <v>3</v>
      </c>
      <c r="C185" s="36">
        <v>960000003664778</v>
      </c>
      <c r="D185" s="36">
        <v>960000003664778</v>
      </c>
      <c r="E185" s="1">
        <f t="shared" si="2"/>
        <v>44936</v>
      </c>
      <c r="F185" s="51">
        <v>44936.326585648101</v>
      </c>
      <c r="G185" s="51">
        <v>44936.336909722202</v>
      </c>
      <c r="H185" s="52">
        <v>5.0231481481479998E-3</v>
      </c>
      <c r="I185">
        <v>7.8380556106567383</v>
      </c>
      <c r="J185">
        <v>7402.6458271936499</v>
      </c>
      <c r="K185">
        <v>59.224744083048797</v>
      </c>
    </row>
    <row r="186" spans="1:11" x14ac:dyDescent="0.25">
      <c r="A186" t="str">
        <f>VLOOKUP(C186,'[2]Ensaio 1'!$A$2:$E$28,5,FALSE)</f>
        <v>Control</v>
      </c>
      <c r="B186">
        <f>VLOOKUP(C186,'[2]Ensaio 1'!$A$2:$F$28,6,FALSE)</f>
        <v>3</v>
      </c>
      <c r="C186" s="36">
        <v>960000003608633</v>
      </c>
      <c r="D186" s="36">
        <v>960000003608633</v>
      </c>
      <c r="E186" s="1">
        <f t="shared" si="2"/>
        <v>44936</v>
      </c>
      <c r="F186" s="51">
        <v>44936.345717592601</v>
      </c>
      <c r="G186" s="51">
        <v>44936.350763888899</v>
      </c>
      <c r="H186" s="52">
        <v>3.9467592592589999E-3</v>
      </c>
      <c r="I186">
        <v>8.2972221374511719</v>
      </c>
      <c r="J186">
        <v>8672.2899739090299</v>
      </c>
      <c r="K186">
        <v>68.416291420943594</v>
      </c>
    </row>
    <row r="187" spans="1:11" x14ac:dyDescent="0.25">
      <c r="A187" t="str">
        <f>VLOOKUP(C187,'[2]Ensaio 1'!$A$2:$E$28,5,FALSE)</f>
        <v>Control</v>
      </c>
      <c r="B187">
        <f>VLOOKUP(C187,'[2]Ensaio 1'!$A$2:$F$28,6,FALSE)</f>
        <v>3</v>
      </c>
      <c r="C187" s="36">
        <v>960000003688522</v>
      </c>
      <c r="D187" s="36">
        <v>960000003688522</v>
      </c>
      <c r="E187" s="1">
        <f t="shared" si="2"/>
        <v>44936</v>
      </c>
      <c r="F187" s="51">
        <v>44936.3960532407</v>
      </c>
      <c r="G187" s="51">
        <v>44936.400740740697</v>
      </c>
      <c r="H187" s="52">
        <v>4.3171296296300003E-3</v>
      </c>
      <c r="I187">
        <v>9.5052776336669922</v>
      </c>
      <c r="J187">
        <v>8473.9654987242593</v>
      </c>
      <c r="K187">
        <v>141.769332922225</v>
      </c>
    </row>
    <row r="188" spans="1:11" x14ac:dyDescent="0.25">
      <c r="A188" t="str">
        <f>VLOOKUP(C188,'[2]Ensaio 1'!$A$2:$E$28,5,FALSE)</f>
        <v>Control</v>
      </c>
      <c r="B188">
        <f>VLOOKUP(C188,'[2]Ensaio 1'!$A$2:$F$28,6,FALSE)</f>
        <v>3</v>
      </c>
      <c r="C188" s="36">
        <v>960000003827766</v>
      </c>
      <c r="D188" s="36">
        <v>960000003827766</v>
      </c>
      <c r="E188" s="1">
        <f t="shared" si="2"/>
        <v>44936</v>
      </c>
      <c r="F188" s="51">
        <v>44936.5108680556</v>
      </c>
      <c r="G188" s="51">
        <v>44936.519282407397</v>
      </c>
      <c r="H188" s="52">
        <v>3.1828703703699998E-3</v>
      </c>
      <c r="I188">
        <v>12.260833740234375</v>
      </c>
      <c r="J188">
        <v>8166.108168109</v>
      </c>
      <c r="K188">
        <v>63.752888200526897</v>
      </c>
    </row>
    <row r="189" spans="1:11" x14ac:dyDescent="0.25">
      <c r="A189" t="str">
        <f>VLOOKUP(C189,'[2]Ensaio 1'!$A$2:$E$28,5,FALSE)</f>
        <v>Control</v>
      </c>
      <c r="B189">
        <f>VLOOKUP(C189,'[2]Ensaio 1'!$A$2:$F$28,6,FALSE)</f>
        <v>3</v>
      </c>
      <c r="C189" s="36">
        <v>960000003608633</v>
      </c>
      <c r="D189" s="36">
        <v>960000003608633</v>
      </c>
      <c r="E189" s="1">
        <f t="shared" si="2"/>
        <v>44936</v>
      </c>
      <c r="F189" s="51">
        <v>44936.618391203701</v>
      </c>
      <c r="G189" s="51">
        <v>44936.6274305556</v>
      </c>
      <c r="H189" s="52">
        <v>4.537037037037E-3</v>
      </c>
      <c r="I189">
        <v>14.841388702392578</v>
      </c>
      <c r="J189">
        <v>8357.1698067985708</v>
      </c>
      <c r="K189">
        <v>122.147461515172</v>
      </c>
    </row>
    <row r="190" spans="1:11" x14ac:dyDescent="0.25">
      <c r="A190" t="str">
        <f>VLOOKUP(C190,'[2]Ensaio 1'!$A$2:$E$28,5,FALSE)</f>
        <v>Control</v>
      </c>
      <c r="B190">
        <f>VLOOKUP(C190,'[2]Ensaio 1'!$A$2:$F$28,6,FALSE)</f>
        <v>3</v>
      </c>
      <c r="C190" s="36">
        <v>960000003664778</v>
      </c>
      <c r="D190" s="36">
        <v>960000003664778</v>
      </c>
      <c r="E190" s="1">
        <f t="shared" si="2"/>
        <v>44936</v>
      </c>
      <c r="F190" s="51">
        <v>44936.630798611099</v>
      </c>
      <c r="G190" s="51">
        <v>44936.634328703702</v>
      </c>
      <c r="H190" s="52">
        <v>3.4606481481480001E-3</v>
      </c>
      <c r="I190">
        <v>15.139166831970215</v>
      </c>
      <c r="J190">
        <v>9288.9050304314205</v>
      </c>
      <c r="K190">
        <v>103.52566528145201</v>
      </c>
    </row>
    <row r="191" spans="1:11" x14ac:dyDescent="0.25">
      <c r="A191" t="str">
        <f>VLOOKUP(C191,'[2]Ensaio 1'!$A$2:$E$28,5,FALSE)</f>
        <v>Control</v>
      </c>
      <c r="B191">
        <f>VLOOKUP(C191,'[2]Ensaio 1'!$A$2:$F$28,6,FALSE)</f>
        <v>3</v>
      </c>
      <c r="C191" s="36">
        <v>900248002084626</v>
      </c>
      <c r="D191" s="36">
        <v>900248002084626</v>
      </c>
      <c r="E191" s="1">
        <f t="shared" si="2"/>
        <v>44936</v>
      </c>
      <c r="F191" s="51">
        <v>44936.682175925896</v>
      </c>
      <c r="G191" s="51">
        <v>44936.685624999998</v>
      </c>
      <c r="H191" s="52">
        <v>2.3148148148149999E-3</v>
      </c>
      <c r="I191">
        <v>16.372222900390625</v>
      </c>
      <c r="J191">
        <v>9523.6504488115206</v>
      </c>
      <c r="K191">
        <v>72.845330085956206</v>
      </c>
    </row>
    <row r="192" spans="1:11" x14ac:dyDescent="0.25">
      <c r="A192" t="str">
        <f>VLOOKUP(C192,'[2]Ensaio 1'!$A$2:$E$28,5,FALSE)</f>
        <v>Control</v>
      </c>
      <c r="B192">
        <f>VLOOKUP(C192,'[2]Ensaio 1'!$A$2:$F$28,6,FALSE)</f>
        <v>3</v>
      </c>
      <c r="C192" s="36">
        <v>960000003688522</v>
      </c>
      <c r="D192" s="36">
        <v>960000003688522</v>
      </c>
      <c r="E192" s="1">
        <f t="shared" si="2"/>
        <v>44936</v>
      </c>
      <c r="F192" s="51">
        <v>44936.710208333301</v>
      </c>
      <c r="G192" s="51">
        <v>44936.713703703703</v>
      </c>
      <c r="H192" s="52">
        <v>3.3796296296299999E-3</v>
      </c>
      <c r="I192">
        <v>17.045000076293945</v>
      </c>
      <c r="J192">
        <v>8457.9532929176294</v>
      </c>
      <c r="K192">
        <v>101.71868457254401</v>
      </c>
    </row>
    <row r="193" spans="1:11" x14ac:dyDescent="0.25">
      <c r="A193" t="str">
        <f>VLOOKUP(C193,'[2]Ensaio 1'!$A$2:$E$28,5,FALSE)</f>
        <v>Control</v>
      </c>
      <c r="B193">
        <f>VLOOKUP(C193,'[2]Ensaio 1'!$A$2:$F$28,6,FALSE)</f>
        <v>3</v>
      </c>
      <c r="C193" s="36">
        <v>960000003827766</v>
      </c>
      <c r="D193" s="36">
        <v>960000003827766</v>
      </c>
      <c r="E193" s="1">
        <f t="shared" si="2"/>
        <v>44936</v>
      </c>
      <c r="F193" s="51">
        <v>44936.752037036997</v>
      </c>
      <c r="G193" s="51">
        <v>44936.760486111103</v>
      </c>
      <c r="H193" s="52">
        <v>3.6458333333329999E-3</v>
      </c>
      <c r="I193">
        <v>18.04888916015625</v>
      </c>
      <c r="J193">
        <v>9296.7036477747297</v>
      </c>
      <c r="K193">
        <v>114.90354253803601</v>
      </c>
    </row>
    <row r="194" spans="1:11" x14ac:dyDescent="0.25">
      <c r="A194" t="str">
        <f>VLOOKUP(C194,'[2]Ensaio 1'!$A$2:$E$28,5,FALSE)</f>
        <v>Control</v>
      </c>
      <c r="B194">
        <f>VLOOKUP(C194,'[2]Ensaio 1'!$A$2:$F$28,6,FALSE)</f>
        <v>3</v>
      </c>
      <c r="C194" s="36">
        <v>960000003608633</v>
      </c>
      <c r="D194" s="36">
        <v>960000003608633</v>
      </c>
      <c r="E194" s="1">
        <f t="shared" ref="E194:E257" si="3">ROUNDDOWN(LEFT(F194,10),0)</f>
        <v>44936</v>
      </c>
      <c r="F194" s="51">
        <v>44936.866087962997</v>
      </c>
      <c r="G194" s="51">
        <v>44936.869664351798</v>
      </c>
      <c r="H194" s="52">
        <v>3.5185185185189999E-3</v>
      </c>
      <c r="I194">
        <v>20.786111831665039</v>
      </c>
      <c r="J194">
        <v>8375.9055271045399</v>
      </c>
      <c r="K194">
        <v>96.3893938010292</v>
      </c>
    </row>
    <row r="195" spans="1:11" x14ac:dyDescent="0.25">
      <c r="A195" t="str">
        <f>VLOOKUP(C195,'[2]Ensaio 1'!$A$2:$E$28,5,FALSE)</f>
        <v>Control</v>
      </c>
      <c r="B195">
        <f>VLOOKUP(C195,'[2]Ensaio 1'!$A$2:$F$28,6,FALSE)</f>
        <v>3</v>
      </c>
      <c r="C195" s="36">
        <v>960000003827766</v>
      </c>
      <c r="D195" s="36">
        <v>960000003827766</v>
      </c>
      <c r="E195" s="1">
        <f t="shared" si="3"/>
        <v>44937</v>
      </c>
      <c r="F195" s="51">
        <v>44937.004618055602</v>
      </c>
      <c r="G195" s="51">
        <v>44937.0085763889</v>
      </c>
      <c r="H195" s="52">
        <v>3.1597222222220001E-3</v>
      </c>
      <c r="I195">
        <v>0.110833331942558</v>
      </c>
      <c r="J195">
        <v>9489.9784259064199</v>
      </c>
      <c r="K195">
        <v>91.912325395439296</v>
      </c>
    </row>
    <row r="196" spans="1:11" x14ac:dyDescent="0.25">
      <c r="A196" t="str">
        <f>VLOOKUP(C196,'[2]Ensaio 1'!$A$2:$E$28,5,FALSE)</f>
        <v>Control</v>
      </c>
      <c r="B196">
        <f>VLOOKUP(C196,'[2]Ensaio 1'!$A$2:$F$28,6,FALSE)</f>
        <v>3</v>
      </c>
      <c r="C196" s="36">
        <v>960000003664778</v>
      </c>
      <c r="D196" s="36">
        <v>960000003664778</v>
      </c>
      <c r="E196" s="1">
        <f t="shared" si="3"/>
        <v>44937</v>
      </c>
      <c r="F196" s="51">
        <v>44937.011180555601</v>
      </c>
      <c r="G196" s="51">
        <v>44937.016655092601</v>
      </c>
      <c r="H196" s="52">
        <v>4.6180555555559999E-3</v>
      </c>
      <c r="I196">
        <v>0.26833334565162698</v>
      </c>
      <c r="J196">
        <v>7308.2644800245798</v>
      </c>
      <c r="K196">
        <v>76.582219960072294</v>
      </c>
    </row>
    <row r="197" spans="1:11" x14ac:dyDescent="0.25">
      <c r="A197" t="str">
        <f>VLOOKUP(C197,'[2]Ensaio 1'!$A$2:$E$28,5,FALSE)</f>
        <v>Control</v>
      </c>
      <c r="B197">
        <f>VLOOKUP(C197,'[2]Ensaio 1'!$A$2:$F$28,6,FALSE)</f>
        <v>3</v>
      </c>
      <c r="C197" s="36">
        <v>960000003608633</v>
      </c>
      <c r="D197" s="36">
        <v>960000003608633</v>
      </c>
      <c r="E197" s="1">
        <f t="shared" si="3"/>
        <v>44937</v>
      </c>
      <c r="F197" s="51">
        <v>44937.198587963001</v>
      </c>
      <c r="G197" s="51">
        <v>44937.206527777802</v>
      </c>
      <c r="H197" s="52">
        <v>4.6296296296299997E-3</v>
      </c>
      <c r="I197">
        <v>4.766110897064209</v>
      </c>
      <c r="J197">
        <v>8091.22563095653</v>
      </c>
      <c r="K197">
        <v>68.235895836521095</v>
      </c>
    </row>
    <row r="198" spans="1:11" x14ac:dyDescent="0.25">
      <c r="A198" t="str">
        <f>VLOOKUP(C198,'[2]Ensaio 1'!$A$2:$E$28,5,FALSE)</f>
        <v>Control</v>
      </c>
      <c r="B198">
        <f>VLOOKUP(C198,'[2]Ensaio 1'!$A$2:$F$28,6,FALSE)</f>
        <v>3</v>
      </c>
      <c r="C198" s="36">
        <v>960000003664778</v>
      </c>
      <c r="D198" s="36">
        <v>960000003664778</v>
      </c>
      <c r="E198" s="1">
        <f t="shared" si="3"/>
        <v>44937</v>
      </c>
      <c r="F198" s="51">
        <v>44937.300717592603</v>
      </c>
      <c r="G198" s="51">
        <v>44937.307349536997</v>
      </c>
      <c r="H198" s="52">
        <v>3.6805555555559999E-3</v>
      </c>
      <c r="I198">
        <v>7.2172222137451172</v>
      </c>
      <c r="J198">
        <v>7061.7440471590398</v>
      </c>
      <c r="K198">
        <v>84.513656712631104</v>
      </c>
    </row>
    <row r="199" spans="1:11" x14ac:dyDescent="0.25">
      <c r="A199" t="str">
        <f>VLOOKUP(C199,'[2]Ensaio 1'!$A$2:$E$28,5,FALSE)</f>
        <v>Control</v>
      </c>
      <c r="B199">
        <f>VLOOKUP(C199,'[2]Ensaio 1'!$A$2:$F$28,6,FALSE)</f>
        <v>3</v>
      </c>
      <c r="C199" s="36">
        <v>960000003827766</v>
      </c>
      <c r="D199" s="36">
        <v>960000003827766</v>
      </c>
      <c r="E199" s="1">
        <f t="shared" si="3"/>
        <v>44937</v>
      </c>
      <c r="F199" s="51">
        <v>44937.309571759302</v>
      </c>
      <c r="G199" s="51">
        <v>44937.313923611102</v>
      </c>
      <c r="H199" s="52">
        <v>2.9166666666669999E-3</v>
      </c>
      <c r="I199">
        <v>7.4297223091125488</v>
      </c>
      <c r="J199">
        <v>7966.0717978545699</v>
      </c>
      <c r="K199">
        <v>76.177133418657505</v>
      </c>
    </row>
    <row r="200" spans="1:11" x14ac:dyDescent="0.25">
      <c r="A200" t="str">
        <f>VLOOKUP(C200,'[2]Ensaio 1'!$A$2:$E$28,5,FALSE)</f>
        <v>Control</v>
      </c>
      <c r="B200">
        <f>VLOOKUP(C200,'[2]Ensaio 1'!$A$2:$F$28,6,FALSE)</f>
        <v>3</v>
      </c>
      <c r="C200" s="36">
        <v>960000003688522</v>
      </c>
      <c r="D200" s="36">
        <v>960000003688522</v>
      </c>
      <c r="E200" s="1">
        <f t="shared" si="3"/>
        <v>44937</v>
      </c>
      <c r="F200" s="51">
        <v>44937.405590277798</v>
      </c>
      <c r="G200" s="51">
        <v>44937.408900463</v>
      </c>
      <c r="H200" s="52">
        <v>3.0555555555559998E-3</v>
      </c>
      <c r="I200">
        <v>9.7341670989990234</v>
      </c>
      <c r="J200">
        <v>7863.2432474179104</v>
      </c>
      <c r="K200">
        <v>99.9036513883335</v>
      </c>
    </row>
    <row r="201" spans="1:11" x14ac:dyDescent="0.25">
      <c r="A201" t="str">
        <f>VLOOKUP(C201,'[2]Ensaio 1'!$A$2:$E$28,5,FALSE)</f>
        <v>Control</v>
      </c>
      <c r="B201">
        <f>VLOOKUP(C201,'[2]Ensaio 1'!$A$2:$F$28,6,FALSE)</f>
        <v>3</v>
      </c>
      <c r="C201" s="36">
        <v>900248002084626</v>
      </c>
      <c r="D201" s="36">
        <v>900248002084626</v>
      </c>
      <c r="E201" s="1">
        <f t="shared" si="3"/>
        <v>44937</v>
      </c>
      <c r="F201" s="51">
        <v>44937.420081018499</v>
      </c>
      <c r="G201" s="51">
        <v>44937.423159722202</v>
      </c>
      <c r="H201" s="52">
        <v>2.6504629629629998E-3</v>
      </c>
      <c r="I201">
        <v>10.081944465637207</v>
      </c>
      <c r="J201">
        <v>9452.3813738540994</v>
      </c>
      <c r="K201">
        <v>158.851765222696</v>
      </c>
    </row>
    <row r="202" spans="1:11" x14ac:dyDescent="0.25">
      <c r="A202" t="str">
        <f>VLOOKUP(C202,'[2]Ensaio 1'!$A$2:$E$28,5,FALSE)</f>
        <v>Control</v>
      </c>
      <c r="B202">
        <f>VLOOKUP(C202,'[2]Ensaio 1'!$A$2:$F$28,6,FALSE)</f>
        <v>3</v>
      </c>
      <c r="C202" s="36">
        <v>960000003608633</v>
      </c>
      <c r="D202" s="36">
        <v>960000003608633</v>
      </c>
      <c r="E202" s="1">
        <f t="shared" si="3"/>
        <v>44937</v>
      </c>
      <c r="F202" s="51">
        <v>44937.5473726852</v>
      </c>
      <c r="G202" s="51">
        <v>44937.551041666702</v>
      </c>
      <c r="H202" s="52">
        <v>3.5879629629629998E-3</v>
      </c>
      <c r="I202">
        <v>13.136944770812988</v>
      </c>
      <c r="J202">
        <v>8221.3661338917009</v>
      </c>
      <c r="K202">
        <v>96.714642075298798</v>
      </c>
    </row>
    <row r="203" spans="1:11" x14ac:dyDescent="0.25">
      <c r="A203" t="str">
        <f>VLOOKUP(C203,'[2]Ensaio 1'!$A$2:$E$28,5,FALSE)</f>
        <v>Control</v>
      </c>
      <c r="B203">
        <f>VLOOKUP(C203,'[2]Ensaio 1'!$A$2:$F$28,6,FALSE)</f>
        <v>3</v>
      </c>
      <c r="C203" s="36">
        <v>960000003664778</v>
      </c>
      <c r="D203" s="36">
        <v>960000003664778</v>
      </c>
      <c r="E203" s="1">
        <f t="shared" si="3"/>
        <v>44937</v>
      </c>
      <c r="F203" s="51">
        <v>44937.559351851902</v>
      </c>
      <c r="G203" s="51">
        <v>44937.563275462999</v>
      </c>
      <c r="H203" s="52">
        <v>3.842592592593E-3</v>
      </c>
      <c r="I203">
        <v>13.424444198608398</v>
      </c>
      <c r="J203">
        <v>6504.6624262691203</v>
      </c>
      <c r="K203">
        <v>96.044857333551406</v>
      </c>
    </row>
    <row r="204" spans="1:11" x14ac:dyDescent="0.25">
      <c r="A204" t="str">
        <f>VLOOKUP(C204,'[2]Ensaio 1'!$A$2:$E$28,5,FALSE)</f>
        <v>Control</v>
      </c>
      <c r="B204">
        <f>VLOOKUP(C204,'[2]Ensaio 1'!$A$2:$F$28,6,FALSE)</f>
        <v>3</v>
      </c>
      <c r="C204" s="36">
        <v>960000003827766</v>
      </c>
      <c r="D204" s="36">
        <v>960000003827766</v>
      </c>
      <c r="E204" s="1">
        <f t="shared" si="3"/>
        <v>44937</v>
      </c>
      <c r="F204" s="51">
        <v>44937.605972222198</v>
      </c>
      <c r="G204" s="51">
        <v>44937.609432870398</v>
      </c>
      <c r="H204" s="52">
        <v>3.0671296296300001E-3</v>
      </c>
      <c r="I204">
        <v>14.543333053588867</v>
      </c>
      <c r="J204">
        <v>8480.9019561962705</v>
      </c>
      <c r="K204">
        <v>84.064741208348195</v>
      </c>
    </row>
    <row r="205" spans="1:11" x14ac:dyDescent="0.25">
      <c r="A205" t="str">
        <f>VLOOKUP(C205,'[2]Ensaio 1'!$A$2:$E$28,5,FALSE)</f>
        <v>Control</v>
      </c>
      <c r="B205">
        <f>VLOOKUP(C205,'[2]Ensaio 1'!$A$2:$F$28,6,FALSE)</f>
        <v>3</v>
      </c>
      <c r="C205" s="36">
        <v>960000003688522</v>
      </c>
      <c r="D205" s="36">
        <v>960000003688522</v>
      </c>
      <c r="E205" s="1">
        <f t="shared" si="3"/>
        <v>44937</v>
      </c>
      <c r="F205" s="51">
        <v>44937.645787037</v>
      </c>
      <c r="G205" s="51">
        <v>44937.6485300926</v>
      </c>
      <c r="H205" s="52">
        <v>2.44212962963E-3</v>
      </c>
      <c r="I205">
        <v>15.498888969421387</v>
      </c>
      <c r="J205">
        <v>8465.8071223369807</v>
      </c>
      <c r="K205">
        <v>113.05377916138001</v>
      </c>
    </row>
    <row r="206" spans="1:11" x14ac:dyDescent="0.25">
      <c r="A206" t="str">
        <f>VLOOKUP(C206,'[2]Ensaio 1'!$A$2:$E$28,5,FALSE)</f>
        <v>Control</v>
      </c>
      <c r="B206">
        <f>VLOOKUP(C206,'[2]Ensaio 1'!$A$2:$F$28,6,FALSE)</f>
        <v>3</v>
      </c>
      <c r="C206" s="36">
        <v>900248002084626</v>
      </c>
      <c r="D206" s="36">
        <v>900248002084626</v>
      </c>
      <c r="E206" s="1">
        <f t="shared" si="3"/>
        <v>44937</v>
      </c>
      <c r="F206" s="51">
        <v>44937.662013888897</v>
      </c>
      <c r="G206" s="51">
        <v>44937.665127314802</v>
      </c>
      <c r="H206" s="52">
        <v>1.805555555556E-3</v>
      </c>
      <c r="I206">
        <v>15.888333320617676</v>
      </c>
      <c r="J206">
        <v>6972.9616911131097</v>
      </c>
      <c r="K206">
        <v>73.603807171160597</v>
      </c>
    </row>
    <row r="207" spans="1:11" x14ac:dyDescent="0.25">
      <c r="A207" t="str">
        <f>VLOOKUP(C207,'[2]Ensaio 1'!$A$2:$E$28,5,FALSE)</f>
        <v>Control</v>
      </c>
      <c r="B207">
        <f>VLOOKUP(C207,'[2]Ensaio 1'!$A$2:$F$28,6,FALSE)</f>
        <v>3</v>
      </c>
      <c r="C207" s="36">
        <v>960000003827766</v>
      </c>
      <c r="D207" s="36">
        <v>960000003827766</v>
      </c>
      <c r="E207" s="1">
        <f t="shared" si="3"/>
        <v>44937</v>
      </c>
      <c r="F207" s="51">
        <v>44937.903333333299</v>
      </c>
      <c r="G207" s="51">
        <v>44937.905902777798</v>
      </c>
      <c r="H207" s="52">
        <v>2.4189814814810002E-3</v>
      </c>
      <c r="I207">
        <v>21.680000305175781</v>
      </c>
      <c r="J207">
        <v>8761.3423605125699</v>
      </c>
      <c r="K207">
        <v>88.320447455207599</v>
      </c>
    </row>
    <row r="208" spans="1:11" x14ac:dyDescent="0.25">
      <c r="A208" t="str">
        <f>VLOOKUP(C208,'[2]Ensaio 1'!$A$2:$E$28,5,FALSE)</f>
        <v>Control</v>
      </c>
      <c r="B208">
        <f>VLOOKUP(C208,'[2]Ensaio 1'!$A$2:$F$28,6,FALSE)</f>
        <v>3</v>
      </c>
      <c r="C208" s="36">
        <v>960000003608633</v>
      </c>
      <c r="D208" s="36">
        <v>960000003608633</v>
      </c>
      <c r="E208" s="1">
        <f t="shared" si="3"/>
        <v>44937</v>
      </c>
      <c r="F208" s="51">
        <v>44937.941180555601</v>
      </c>
      <c r="G208" s="51">
        <v>44937.946516203701</v>
      </c>
      <c r="H208" s="52">
        <v>3.7268518518520002E-3</v>
      </c>
      <c r="I208">
        <v>22.588333129882813</v>
      </c>
      <c r="J208">
        <v>8595.5677900297305</v>
      </c>
      <c r="K208">
        <v>63.974297668488902</v>
      </c>
    </row>
    <row r="209" spans="1:11" x14ac:dyDescent="0.25">
      <c r="A209" t="str">
        <f>VLOOKUP(C209,'[2]Ensaio 1'!$A$2:$E$28,5,FALSE)</f>
        <v>Control</v>
      </c>
      <c r="B209">
        <f>VLOOKUP(C209,'[2]Ensaio 1'!$A$2:$F$28,6,FALSE)</f>
        <v>3</v>
      </c>
      <c r="C209" s="36">
        <v>900248002084626</v>
      </c>
      <c r="D209" s="36">
        <v>900248002084626</v>
      </c>
      <c r="E209" s="1">
        <f t="shared" si="3"/>
        <v>44937</v>
      </c>
      <c r="F209" s="51">
        <v>44937.9774189815</v>
      </c>
      <c r="G209" s="51">
        <v>44937.982569444401</v>
      </c>
      <c r="H209" s="52">
        <v>3.1250000000000002E-3</v>
      </c>
      <c r="I209">
        <v>23.45805549621582</v>
      </c>
      <c r="J209">
        <v>10667.0515692599</v>
      </c>
      <c r="K209">
        <v>209.90425376353801</v>
      </c>
    </row>
    <row r="210" spans="1:11" x14ac:dyDescent="0.25">
      <c r="A210" t="str">
        <f>VLOOKUP(C210,'[2]Ensaio 1'!$A$2:$E$28,5,FALSE)</f>
        <v>Control</v>
      </c>
      <c r="B210">
        <f>VLOOKUP(C210,'[2]Ensaio 1'!$A$2:$F$28,6,FALSE)</f>
        <v>3</v>
      </c>
      <c r="C210" s="36">
        <v>960000003664778</v>
      </c>
      <c r="D210" s="36">
        <v>960000003664778</v>
      </c>
      <c r="E210" s="1">
        <f t="shared" si="3"/>
        <v>44937</v>
      </c>
      <c r="F210" s="51">
        <v>44937.993888888901</v>
      </c>
      <c r="G210" s="51">
        <v>44937.997465277796</v>
      </c>
      <c r="H210" s="52">
        <v>3.5185185185189999E-3</v>
      </c>
      <c r="I210">
        <v>23.85333251953125</v>
      </c>
      <c r="J210">
        <v>7087.1513760361804</v>
      </c>
      <c r="K210">
        <v>100.46451762516899</v>
      </c>
    </row>
    <row r="211" spans="1:11" x14ac:dyDescent="0.25">
      <c r="A211" t="str">
        <f>VLOOKUP(C211,'[2]Ensaio 1'!$A$2:$E$28,5,FALSE)</f>
        <v>Control</v>
      </c>
      <c r="B211">
        <f>VLOOKUP(C211,'[2]Ensaio 1'!$A$2:$F$28,6,FALSE)</f>
        <v>3</v>
      </c>
      <c r="C211" s="36">
        <v>960000003664778</v>
      </c>
      <c r="D211" s="36">
        <v>960000003664778</v>
      </c>
      <c r="E211" s="1">
        <f t="shared" si="3"/>
        <v>44938</v>
      </c>
      <c r="F211" s="51">
        <v>44938.046886574099</v>
      </c>
      <c r="G211" s="51">
        <v>44938.049699074101</v>
      </c>
      <c r="H211" s="52">
        <v>2.7546296296299998E-3</v>
      </c>
      <c r="I211">
        <v>1.1252777576446531</v>
      </c>
      <c r="J211">
        <v>7876.64903771233</v>
      </c>
      <c r="K211">
        <v>168.21820552426601</v>
      </c>
    </row>
    <row r="212" spans="1:11" x14ac:dyDescent="0.25">
      <c r="A212" t="str">
        <f>VLOOKUP(C212,'[2]Ensaio 1'!$A$2:$E$28,5,FALSE)</f>
        <v>Control</v>
      </c>
      <c r="B212">
        <f>VLOOKUP(C212,'[2]Ensaio 1'!$A$2:$F$28,6,FALSE)</f>
        <v>3</v>
      </c>
      <c r="C212" s="36">
        <v>960000003608633</v>
      </c>
      <c r="D212" s="36">
        <v>960000003608633</v>
      </c>
      <c r="E212" s="1">
        <f t="shared" si="3"/>
        <v>44938</v>
      </c>
      <c r="F212" s="51">
        <v>44938.104224536997</v>
      </c>
      <c r="G212" s="51">
        <v>44938.117430555598</v>
      </c>
      <c r="H212" s="52">
        <v>4.479166666667E-3</v>
      </c>
      <c r="I212">
        <v>2.501388788223267</v>
      </c>
      <c r="J212">
        <v>8379.2877192539108</v>
      </c>
      <c r="K212">
        <v>61.180791547579901</v>
      </c>
    </row>
    <row r="213" spans="1:11" x14ac:dyDescent="0.25">
      <c r="A213" t="str">
        <f>VLOOKUP(C213,'[2]Ensaio 1'!$A$2:$E$28,5,FALSE)</f>
        <v>Control</v>
      </c>
      <c r="B213">
        <f>VLOOKUP(C213,'[2]Ensaio 1'!$A$2:$F$28,6,FALSE)</f>
        <v>3</v>
      </c>
      <c r="C213" s="36">
        <v>900248002084626</v>
      </c>
      <c r="D213" s="36">
        <v>900248002084626</v>
      </c>
      <c r="E213" s="1">
        <f t="shared" si="3"/>
        <v>44938</v>
      </c>
      <c r="F213" s="51">
        <v>44938.139525462997</v>
      </c>
      <c r="G213" s="51">
        <v>44938.142581018503</v>
      </c>
      <c r="H213" s="52">
        <v>2.6967592592590001E-3</v>
      </c>
      <c r="I213">
        <v>3.3486111164093022</v>
      </c>
      <c r="J213">
        <v>9547.8421472782502</v>
      </c>
      <c r="K213">
        <v>89.080826090670797</v>
      </c>
    </row>
    <row r="214" spans="1:11" x14ac:dyDescent="0.25">
      <c r="A214" t="str">
        <f>VLOOKUP(C214,'[2]Ensaio 1'!$A$2:$E$28,5,FALSE)</f>
        <v>Control</v>
      </c>
      <c r="B214">
        <f>VLOOKUP(C214,'[2]Ensaio 1'!$A$2:$F$28,6,FALSE)</f>
        <v>3</v>
      </c>
      <c r="C214" s="36">
        <v>960000003827766</v>
      </c>
      <c r="D214" s="36">
        <v>960000003827766</v>
      </c>
      <c r="E214" s="1">
        <f t="shared" si="3"/>
        <v>44938</v>
      </c>
      <c r="F214" s="51">
        <v>44938.150891203702</v>
      </c>
      <c r="G214" s="51">
        <v>44938.154282407399</v>
      </c>
      <c r="H214" s="52">
        <v>3.0671296296300001E-3</v>
      </c>
      <c r="I214">
        <v>3.6213889122009282</v>
      </c>
      <c r="J214">
        <v>7890.8029610578496</v>
      </c>
      <c r="K214">
        <v>57.785762826170803</v>
      </c>
    </row>
    <row r="215" spans="1:11" x14ac:dyDescent="0.25">
      <c r="A215" t="str">
        <f>VLOOKUP(C215,'[2]Ensaio 1'!$A$2:$E$28,5,FALSE)</f>
        <v>Control</v>
      </c>
      <c r="B215">
        <f>VLOOKUP(C215,'[2]Ensaio 1'!$A$2:$F$28,6,FALSE)</f>
        <v>3</v>
      </c>
      <c r="C215" s="36">
        <v>960000003664778</v>
      </c>
      <c r="D215" s="36">
        <v>960000003664778</v>
      </c>
      <c r="E215" s="1">
        <f t="shared" si="3"/>
        <v>44938</v>
      </c>
      <c r="F215" s="51">
        <v>44938.332928240699</v>
      </c>
      <c r="G215" s="51">
        <v>44938.336273148103</v>
      </c>
      <c r="H215" s="52">
        <v>3.0902777777780002E-3</v>
      </c>
      <c r="I215">
        <v>7.9902777671813956</v>
      </c>
      <c r="J215">
        <v>6681.6098013545698</v>
      </c>
      <c r="K215">
        <v>104.003286286261</v>
      </c>
    </row>
    <row r="216" spans="1:11" x14ac:dyDescent="0.25">
      <c r="A216" t="str">
        <f>VLOOKUP(C216,'[2]Ensaio 1'!$A$2:$E$28,5,FALSE)</f>
        <v>Control</v>
      </c>
      <c r="B216">
        <f>VLOOKUP(C216,'[2]Ensaio 1'!$A$2:$F$28,6,FALSE)</f>
        <v>3</v>
      </c>
      <c r="C216" s="36">
        <v>960000003608633</v>
      </c>
      <c r="D216" s="36">
        <v>960000003608633</v>
      </c>
      <c r="E216" s="1">
        <f t="shared" si="3"/>
        <v>44938</v>
      </c>
      <c r="F216" s="51">
        <v>44938.370636574102</v>
      </c>
      <c r="G216" s="51">
        <v>44938.375509259298</v>
      </c>
      <c r="H216" s="52">
        <v>3.668981481481E-3</v>
      </c>
      <c r="I216">
        <v>8.8952779769897461</v>
      </c>
      <c r="J216">
        <v>8751.8100582081406</v>
      </c>
      <c r="K216">
        <v>126.645606835745</v>
      </c>
    </row>
    <row r="217" spans="1:11" x14ac:dyDescent="0.25">
      <c r="A217" t="str">
        <f>VLOOKUP(C217,'[2]Ensaio 1'!$A$2:$E$28,5,FALSE)</f>
        <v>Control</v>
      </c>
      <c r="B217">
        <f>VLOOKUP(C217,'[2]Ensaio 1'!$A$2:$F$28,6,FALSE)</f>
        <v>3</v>
      </c>
      <c r="C217" s="36">
        <v>900248002084626</v>
      </c>
      <c r="D217" s="36">
        <v>900248002084626</v>
      </c>
      <c r="E217" s="1">
        <f t="shared" si="3"/>
        <v>44938</v>
      </c>
      <c r="F217" s="51">
        <v>44938.376354166699</v>
      </c>
      <c r="G217" s="51">
        <v>44938.384351851899</v>
      </c>
      <c r="H217" s="52">
        <v>2.3495370370369998E-3</v>
      </c>
      <c r="I217">
        <v>9.0325002670288086</v>
      </c>
      <c r="J217">
        <v>8937.1250657895998</v>
      </c>
      <c r="K217">
        <v>87.594761510192001</v>
      </c>
    </row>
    <row r="218" spans="1:11" x14ac:dyDescent="0.25">
      <c r="A218" t="str">
        <f>VLOOKUP(C218,'[2]Ensaio 1'!$A$2:$E$28,5,FALSE)</f>
        <v>Control</v>
      </c>
      <c r="B218">
        <f>VLOOKUP(C218,'[2]Ensaio 1'!$A$2:$F$28,6,FALSE)</f>
        <v>3</v>
      </c>
      <c r="C218" s="36">
        <v>960000003688522</v>
      </c>
      <c r="D218" s="36">
        <v>960000003688522</v>
      </c>
      <c r="E218" s="1">
        <f t="shared" si="3"/>
        <v>44938</v>
      </c>
      <c r="F218" s="51">
        <v>44938.4079166667</v>
      </c>
      <c r="G218" s="51">
        <v>44938.411087963003</v>
      </c>
      <c r="H218" s="52">
        <v>2.974537037037E-3</v>
      </c>
      <c r="I218">
        <v>9.7899999618530273</v>
      </c>
      <c r="J218">
        <v>8098.0581117541396</v>
      </c>
      <c r="K218">
        <v>127.834219152602</v>
      </c>
    </row>
    <row r="219" spans="1:11" x14ac:dyDescent="0.25">
      <c r="A219" t="str">
        <f>VLOOKUP(C219,'[2]Ensaio 1'!$A$2:$E$28,5,FALSE)</f>
        <v>Control</v>
      </c>
      <c r="B219">
        <f>VLOOKUP(C219,'[2]Ensaio 1'!$A$2:$F$28,6,FALSE)</f>
        <v>3</v>
      </c>
      <c r="C219" s="36">
        <v>960000003827766</v>
      </c>
      <c r="D219" s="36">
        <v>960000003827766</v>
      </c>
      <c r="E219" s="1">
        <f t="shared" si="3"/>
        <v>44938</v>
      </c>
      <c r="F219" s="51">
        <v>44938.459108796298</v>
      </c>
      <c r="G219" s="51">
        <v>44938.462835648097</v>
      </c>
      <c r="H219" s="52">
        <v>3.3564814814810002E-3</v>
      </c>
      <c r="I219">
        <v>11.018610954284668</v>
      </c>
      <c r="J219">
        <v>7912.3421842070502</v>
      </c>
      <c r="K219">
        <v>71.005876529021293</v>
      </c>
    </row>
    <row r="220" spans="1:11" x14ac:dyDescent="0.25">
      <c r="A220" t="str">
        <f>VLOOKUP(C220,'[2]Ensaio 1'!$A$2:$E$28,5,FALSE)</f>
        <v>Control</v>
      </c>
      <c r="B220">
        <f>VLOOKUP(C220,'[2]Ensaio 1'!$A$2:$F$28,6,FALSE)</f>
        <v>3</v>
      </c>
      <c r="C220" s="36">
        <v>960000003608633</v>
      </c>
      <c r="D220" s="36">
        <v>960000003608633</v>
      </c>
      <c r="E220" s="1">
        <f t="shared" si="3"/>
        <v>44938</v>
      </c>
      <c r="F220" s="51">
        <v>44938.588217592602</v>
      </c>
      <c r="G220" s="51">
        <v>44938.5915046296</v>
      </c>
      <c r="H220" s="52">
        <v>3.240740740741E-3</v>
      </c>
      <c r="I220">
        <v>14.117221832275391</v>
      </c>
      <c r="J220">
        <v>8754.9495484279305</v>
      </c>
      <c r="K220">
        <v>117.063620838207</v>
      </c>
    </row>
    <row r="221" spans="1:11" x14ac:dyDescent="0.25">
      <c r="A221" t="str">
        <f>VLOOKUP(C221,'[2]Ensaio 1'!$A$2:$E$28,5,FALSE)</f>
        <v>Control</v>
      </c>
      <c r="B221">
        <f>VLOOKUP(C221,'[2]Ensaio 1'!$A$2:$F$28,6,FALSE)</f>
        <v>3</v>
      </c>
      <c r="C221" s="36">
        <v>960000003664778</v>
      </c>
      <c r="D221" s="36">
        <v>960000003664778</v>
      </c>
      <c r="E221" s="1">
        <f t="shared" si="3"/>
        <v>44938</v>
      </c>
      <c r="F221" s="51">
        <v>44938.602951388901</v>
      </c>
      <c r="G221" s="51">
        <v>44938.607812499999</v>
      </c>
      <c r="H221" s="52">
        <v>3.9120370370370004E-3</v>
      </c>
      <c r="I221">
        <v>14.470833778381348</v>
      </c>
      <c r="J221">
        <v>6885.6196144666901</v>
      </c>
      <c r="K221">
        <v>66.792531086270003</v>
      </c>
    </row>
    <row r="222" spans="1:11" x14ac:dyDescent="0.25">
      <c r="A222" t="str">
        <f>VLOOKUP(C222,'[2]Ensaio 1'!$A$2:$E$28,5,FALSE)</f>
        <v>Control</v>
      </c>
      <c r="B222">
        <f>VLOOKUP(C222,'[2]Ensaio 1'!$A$2:$F$28,6,FALSE)</f>
        <v>3</v>
      </c>
      <c r="C222" s="36">
        <v>960000003688522</v>
      </c>
      <c r="D222" s="36">
        <v>960000003688522</v>
      </c>
      <c r="E222" s="1">
        <f t="shared" si="3"/>
        <v>44938</v>
      </c>
      <c r="F222" s="51">
        <v>44938.6855208333</v>
      </c>
      <c r="G222" s="51">
        <v>44938.690925925897</v>
      </c>
      <c r="H222" s="52">
        <v>2.939814814815E-3</v>
      </c>
      <c r="I222">
        <v>16.452499389648438</v>
      </c>
      <c r="J222">
        <v>7011.0008776149698</v>
      </c>
      <c r="K222">
        <v>93.423865765545898</v>
      </c>
    </row>
    <row r="223" spans="1:11" x14ac:dyDescent="0.25">
      <c r="A223" t="str">
        <f>VLOOKUP(C223,'[2]Ensaio 1'!$A$2:$E$28,5,FALSE)</f>
        <v>Control</v>
      </c>
      <c r="B223">
        <f>VLOOKUP(C223,'[2]Ensaio 1'!$A$2:$F$28,6,FALSE)</f>
        <v>3</v>
      </c>
      <c r="C223" s="36">
        <v>960000003827766</v>
      </c>
      <c r="D223" s="36">
        <v>960000003827766</v>
      </c>
      <c r="E223" s="1">
        <f t="shared" si="3"/>
        <v>44938</v>
      </c>
      <c r="F223" s="51">
        <v>44938.751145833303</v>
      </c>
      <c r="G223" s="51">
        <v>44938.754722222198</v>
      </c>
      <c r="H223" s="52">
        <v>3.1597222222220001E-3</v>
      </c>
      <c r="I223">
        <v>18.027500152587891</v>
      </c>
      <c r="J223">
        <v>11073.514741806101</v>
      </c>
      <c r="K223">
        <v>122.475978281678</v>
      </c>
    </row>
    <row r="224" spans="1:11" x14ac:dyDescent="0.25">
      <c r="A224" t="str">
        <f>VLOOKUP(C224,'[2]Ensaio 1'!$A$2:$E$28,5,FALSE)</f>
        <v>Control</v>
      </c>
      <c r="B224">
        <f>VLOOKUP(C224,'[2]Ensaio 1'!$A$2:$F$28,6,FALSE)</f>
        <v>3</v>
      </c>
      <c r="C224" s="36">
        <v>960000003608633</v>
      </c>
      <c r="D224" s="36">
        <v>960000003608633</v>
      </c>
      <c r="E224" s="1">
        <f t="shared" si="3"/>
        <v>44938</v>
      </c>
      <c r="F224" s="51">
        <v>44938.939548611103</v>
      </c>
      <c r="G224" s="51">
        <v>44938.943402777797</v>
      </c>
      <c r="H224" s="52">
        <v>3.7962962962960001E-3</v>
      </c>
      <c r="I224">
        <v>22.549165725708008</v>
      </c>
      <c r="J224">
        <v>10412.1473257702</v>
      </c>
      <c r="K224">
        <v>138.72582263126901</v>
      </c>
    </row>
    <row r="225" spans="1:11" x14ac:dyDescent="0.25">
      <c r="A225" t="str">
        <f>VLOOKUP(C225,'[2]Ensaio 1'!$A$2:$E$28,5,FALSE)</f>
        <v>Control</v>
      </c>
      <c r="B225">
        <f>VLOOKUP(C225,'[2]Ensaio 1'!$A$2:$F$28,6,FALSE)</f>
        <v>3</v>
      </c>
      <c r="C225" s="36">
        <v>900248002084626</v>
      </c>
      <c r="D225" s="36">
        <v>900248002084626</v>
      </c>
      <c r="E225" s="1">
        <f t="shared" si="3"/>
        <v>44939</v>
      </c>
      <c r="F225" s="51">
        <v>44939.093969907401</v>
      </c>
      <c r="G225" s="51">
        <v>44939.098298611098</v>
      </c>
      <c r="H225" s="52">
        <v>2.4074074074069999E-3</v>
      </c>
      <c r="I225">
        <v>2.2552778720855708</v>
      </c>
      <c r="J225">
        <v>9578.5828354282694</v>
      </c>
      <c r="K225">
        <v>111.636761775553</v>
      </c>
    </row>
    <row r="226" spans="1:11" x14ac:dyDescent="0.25">
      <c r="A226" t="str">
        <f>VLOOKUP(C226,'[2]Ensaio 1'!$A$2:$E$28,5,FALSE)</f>
        <v>Control</v>
      </c>
      <c r="B226">
        <f>VLOOKUP(C226,'[2]Ensaio 1'!$A$2:$F$28,6,FALSE)</f>
        <v>3</v>
      </c>
      <c r="C226" s="36">
        <v>960000003827766</v>
      </c>
      <c r="D226" s="36">
        <v>960000003827766</v>
      </c>
      <c r="E226" s="1">
        <f t="shared" si="3"/>
        <v>44939</v>
      </c>
      <c r="F226" s="51">
        <v>44939.115497685198</v>
      </c>
      <c r="G226" s="51">
        <v>44939.118784722203</v>
      </c>
      <c r="H226" s="52">
        <v>2.9513888888889998E-3</v>
      </c>
      <c r="I226">
        <v>2.771944522857666</v>
      </c>
      <c r="J226">
        <v>9099.9417969953302</v>
      </c>
      <c r="K226">
        <v>63.016822652579599</v>
      </c>
    </row>
    <row r="227" spans="1:11" x14ac:dyDescent="0.25">
      <c r="A227" t="str">
        <f>VLOOKUP(C227,'[2]Ensaio 1'!$A$2:$E$28,5,FALSE)</f>
        <v>Control</v>
      </c>
      <c r="B227">
        <f>VLOOKUP(C227,'[2]Ensaio 1'!$A$2:$F$28,6,FALSE)</f>
        <v>3</v>
      </c>
      <c r="C227" s="36">
        <v>960000003688522</v>
      </c>
      <c r="D227" s="36">
        <v>960000003688522</v>
      </c>
      <c r="E227" s="1">
        <f t="shared" si="3"/>
        <v>44939</v>
      </c>
      <c r="F227" s="51">
        <v>44939.313530092601</v>
      </c>
      <c r="G227" s="51">
        <v>44939.317245370403</v>
      </c>
      <c r="H227" s="52">
        <v>2.5000000000000001E-3</v>
      </c>
      <c r="I227">
        <v>7.5247220993041992</v>
      </c>
      <c r="J227">
        <v>6239.7773932300897</v>
      </c>
      <c r="K227">
        <v>42.214761163155103</v>
      </c>
    </row>
    <row r="228" spans="1:11" x14ac:dyDescent="0.25">
      <c r="A228" t="str">
        <f>VLOOKUP(C228,'[2]Ensaio 1'!$A$2:$E$28,5,FALSE)</f>
        <v>Control</v>
      </c>
      <c r="B228">
        <f>VLOOKUP(C228,'[2]Ensaio 1'!$A$2:$F$28,6,FALSE)</f>
        <v>3</v>
      </c>
      <c r="C228" s="36">
        <v>960000003664778</v>
      </c>
      <c r="D228" s="36">
        <v>960000003664778</v>
      </c>
      <c r="E228" s="1">
        <f t="shared" si="3"/>
        <v>44939</v>
      </c>
      <c r="F228" s="51">
        <v>44939.345092592601</v>
      </c>
      <c r="G228" s="51">
        <v>44939.349282407398</v>
      </c>
      <c r="H228" s="52">
        <v>2.7662037037040001E-3</v>
      </c>
      <c r="I228">
        <v>8.282221794128418</v>
      </c>
      <c r="J228">
        <v>7435.0652455174204</v>
      </c>
      <c r="K228">
        <v>67.655103547701501</v>
      </c>
    </row>
    <row r="229" spans="1:11" x14ac:dyDescent="0.25">
      <c r="A229" t="str">
        <f>VLOOKUP(C229,'[2]Ensaio 1'!$A$2:$E$28,5,FALSE)</f>
        <v>Control</v>
      </c>
      <c r="B229">
        <f>VLOOKUP(C229,'[2]Ensaio 1'!$A$2:$F$28,6,FALSE)</f>
        <v>3</v>
      </c>
      <c r="C229" s="36">
        <v>960000003608633</v>
      </c>
      <c r="D229" s="36">
        <v>960000003608633</v>
      </c>
      <c r="E229" s="1">
        <f t="shared" si="3"/>
        <v>44939</v>
      </c>
      <c r="F229" s="51">
        <v>44939.615381944401</v>
      </c>
      <c r="G229" s="51">
        <v>44939.6188078704</v>
      </c>
      <c r="H229" s="52">
        <v>3.2638888888890001E-3</v>
      </c>
      <c r="I229">
        <v>14.769166946411133</v>
      </c>
      <c r="J229">
        <v>7407.0050009099896</v>
      </c>
      <c r="K229">
        <v>103.56525959055701</v>
      </c>
    </row>
    <row r="230" spans="1:11" x14ac:dyDescent="0.25">
      <c r="A230" t="str">
        <f>VLOOKUP(C230,'[2]Ensaio 1'!$A$2:$E$28,5,FALSE)</f>
        <v>Control</v>
      </c>
      <c r="B230">
        <f>VLOOKUP(C230,'[2]Ensaio 1'!$A$2:$F$28,6,FALSE)</f>
        <v>3</v>
      </c>
      <c r="C230" s="36">
        <v>960000003664778</v>
      </c>
      <c r="D230" s="36">
        <v>960000003664778</v>
      </c>
      <c r="E230" s="1">
        <f t="shared" si="3"/>
        <v>44939</v>
      </c>
      <c r="F230" s="51">
        <v>44939.6719212963</v>
      </c>
      <c r="G230" s="51">
        <v>44939.675590277802</v>
      </c>
      <c r="H230" s="52">
        <v>3.240740740741E-3</v>
      </c>
      <c r="I230">
        <v>16.12611198425293</v>
      </c>
      <c r="J230">
        <v>7379.4273891409903</v>
      </c>
      <c r="K230">
        <v>103.641953573742</v>
      </c>
    </row>
    <row r="231" spans="1:11" x14ac:dyDescent="0.25">
      <c r="A231" t="str">
        <f>VLOOKUP(C231,'[2]Ensaio 1'!$A$2:$E$28,5,FALSE)</f>
        <v>Control</v>
      </c>
      <c r="B231">
        <f>VLOOKUP(C231,'[2]Ensaio 1'!$A$2:$F$28,6,FALSE)</f>
        <v>3</v>
      </c>
      <c r="C231" s="36">
        <v>900248002084626</v>
      </c>
      <c r="D231" s="36">
        <v>900248002084626</v>
      </c>
      <c r="E231" s="1">
        <f t="shared" si="3"/>
        <v>44939</v>
      </c>
      <c r="F231" s="51">
        <v>44939.718449074098</v>
      </c>
      <c r="G231" s="51">
        <v>44939.720081018502</v>
      </c>
      <c r="H231" s="52">
        <v>1.4583333333329999E-3</v>
      </c>
      <c r="I231">
        <v>17.242776870727539</v>
      </c>
      <c r="J231">
        <v>9211.95798970961</v>
      </c>
      <c r="K231">
        <v>196.68642810635501</v>
      </c>
    </row>
    <row r="232" spans="1:11" x14ac:dyDescent="0.25">
      <c r="A232" t="str">
        <f>VLOOKUP(C232,'[2]Ensaio 1'!$A$2:$E$28,5,FALSE)</f>
        <v>Control</v>
      </c>
      <c r="B232">
        <f>VLOOKUP(C232,'[2]Ensaio 1'!$A$2:$F$28,6,FALSE)</f>
        <v>3</v>
      </c>
      <c r="C232" s="36">
        <v>960000003827766</v>
      </c>
      <c r="D232" s="36">
        <v>960000003827766</v>
      </c>
      <c r="E232" s="1">
        <f t="shared" si="3"/>
        <v>44939</v>
      </c>
      <c r="F232" s="51">
        <v>44939.988761574103</v>
      </c>
      <c r="G232" s="51">
        <v>44939.994583333297</v>
      </c>
      <c r="H232" s="52">
        <v>2.0833333333329998E-3</v>
      </c>
      <c r="I232">
        <v>23.730278015136719</v>
      </c>
      <c r="J232">
        <v>7806.1608687104399</v>
      </c>
      <c r="K232">
        <v>59.103729334973302</v>
      </c>
    </row>
    <row r="233" spans="1:11" x14ac:dyDescent="0.25">
      <c r="A233" t="str">
        <f>VLOOKUP(C233,'[2]Ensaio 1'!$A$2:$E$28,5,FALSE)</f>
        <v>Control</v>
      </c>
      <c r="B233">
        <f>VLOOKUP(C233,'[2]Ensaio 1'!$A$2:$F$28,6,FALSE)</f>
        <v>3</v>
      </c>
      <c r="C233" s="36">
        <v>960000003608633</v>
      </c>
      <c r="D233" s="36">
        <v>960000003608633</v>
      </c>
      <c r="E233" s="1">
        <f t="shared" si="3"/>
        <v>44939</v>
      </c>
      <c r="F233" s="51">
        <v>44939.994594907403</v>
      </c>
      <c r="G233" s="51">
        <v>44939.998483796298</v>
      </c>
      <c r="H233" s="52">
        <v>3.7152777777779999E-3</v>
      </c>
      <c r="I233">
        <v>23.870277404785156</v>
      </c>
      <c r="J233">
        <v>8231.7427214862291</v>
      </c>
      <c r="K233">
        <v>114.44356258541499</v>
      </c>
    </row>
    <row r="234" spans="1:11" x14ac:dyDescent="0.25">
      <c r="A234" t="str">
        <f>VLOOKUP(C234,'[2]Ensaio 1'!$A$2:$E$28,5,FALSE)</f>
        <v>Control</v>
      </c>
      <c r="B234">
        <f>VLOOKUP(C234,'[2]Ensaio 1'!$A$2:$F$28,6,FALSE)</f>
        <v>3</v>
      </c>
      <c r="C234" s="36">
        <v>960000003664778</v>
      </c>
      <c r="D234" s="36">
        <v>960000003664778</v>
      </c>
      <c r="E234" s="1">
        <f t="shared" si="3"/>
        <v>44940</v>
      </c>
      <c r="F234" s="51">
        <v>44940.0079513889</v>
      </c>
      <c r="G234" s="51">
        <v>44940.010451388902</v>
      </c>
      <c r="H234" s="52">
        <v>2.4652777777780001E-3</v>
      </c>
      <c r="I234">
        <v>0.190833330154419</v>
      </c>
      <c r="J234">
        <v>7947.0329105476703</v>
      </c>
      <c r="K234">
        <v>73.961650128601704</v>
      </c>
    </row>
    <row r="235" spans="1:11" x14ac:dyDescent="0.25">
      <c r="A235" t="str">
        <f>VLOOKUP(C235,'[2]Ensaio 1'!$A$2:$E$28,5,FALSE)</f>
        <v>Control</v>
      </c>
      <c r="B235">
        <f>VLOOKUP(C235,'[2]Ensaio 1'!$A$2:$F$28,6,FALSE)</f>
        <v>3</v>
      </c>
      <c r="C235" s="36">
        <v>960000003608633</v>
      </c>
      <c r="D235" s="36">
        <v>960000003608633</v>
      </c>
      <c r="E235" s="1">
        <f t="shared" si="3"/>
        <v>44940</v>
      </c>
      <c r="F235" s="51">
        <v>44940.055439814802</v>
      </c>
      <c r="G235" s="51">
        <v>44940.059664351902</v>
      </c>
      <c r="H235" s="52">
        <v>3.2175925925929999E-3</v>
      </c>
      <c r="I235">
        <v>1.3305555582046511</v>
      </c>
      <c r="J235">
        <v>9225.3458924546903</v>
      </c>
      <c r="K235">
        <v>129.98322631136801</v>
      </c>
    </row>
    <row r="236" spans="1:11" x14ac:dyDescent="0.25">
      <c r="A236" t="str">
        <f>VLOOKUP(C236,'[2]Ensaio 1'!$A$2:$E$28,5,FALSE)</f>
        <v>Control</v>
      </c>
      <c r="B236">
        <f>VLOOKUP(C236,'[2]Ensaio 1'!$A$2:$F$28,6,FALSE)</f>
        <v>3</v>
      </c>
      <c r="C236" s="36">
        <v>960000003608633</v>
      </c>
      <c r="D236" s="36">
        <v>960000003608633</v>
      </c>
      <c r="E236" s="1">
        <f t="shared" si="3"/>
        <v>44940</v>
      </c>
      <c r="F236" s="51">
        <v>44940.325972222199</v>
      </c>
      <c r="G236" s="51">
        <v>44940.329872685201</v>
      </c>
      <c r="H236" s="52">
        <v>3.4143518518519999E-3</v>
      </c>
      <c r="I236">
        <v>7.8233332633972168</v>
      </c>
      <c r="J236">
        <v>8220.65747831935</v>
      </c>
      <c r="K236">
        <v>82.133707057121896</v>
      </c>
    </row>
    <row r="237" spans="1:11" x14ac:dyDescent="0.25">
      <c r="A237" t="str">
        <f>VLOOKUP(C237,'[2]Ensaio 1'!$A$2:$E$28,5,FALSE)</f>
        <v>Control</v>
      </c>
      <c r="B237">
        <f>VLOOKUP(C237,'[2]Ensaio 1'!$A$2:$F$28,6,FALSE)</f>
        <v>3</v>
      </c>
      <c r="C237" s="36">
        <v>900248002084626</v>
      </c>
      <c r="D237" s="36">
        <v>900248002084626</v>
      </c>
      <c r="E237" s="1">
        <f t="shared" si="3"/>
        <v>44940</v>
      </c>
      <c r="F237" s="51">
        <v>44940.341493055603</v>
      </c>
      <c r="G237" s="51">
        <v>44940.345173611102</v>
      </c>
      <c r="H237" s="52">
        <v>1.7476851851850001E-3</v>
      </c>
      <c r="I237">
        <v>8.1958332061767578</v>
      </c>
      <c r="J237">
        <v>9856.6600952923</v>
      </c>
      <c r="K237">
        <v>177.25559731149201</v>
      </c>
    </row>
    <row r="238" spans="1:11" x14ac:dyDescent="0.25">
      <c r="A238" t="str">
        <f>VLOOKUP(C238,'[2]Ensaio 1'!$A$2:$E$28,5,FALSE)</f>
        <v>Control</v>
      </c>
      <c r="B238">
        <f>VLOOKUP(C238,'[2]Ensaio 1'!$A$2:$F$28,6,FALSE)</f>
        <v>3</v>
      </c>
      <c r="C238" s="36">
        <v>960000003827766</v>
      </c>
      <c r="D238" s="36">
        <v>960000003827766</v>
      </c>
      <c r="E238" s="1">
        <f t="shared" si="3"/>
        <v>44940</v>
      </c>
      <c r="F238" s="51">
        <v>44940.392974536997</v>
      </c>
      <c r="G238" s="51">
        <v>44940.395775463003</v>
      </c>
      <c r="H238" s="52">
        <v>2.743055555556E-3</v>
      </c>
      <c r="I238">
        <v>9.4313888549804688</v>
      </c>
      <c r="J238">
        <v>8235.4952683663905</v>
      </c>
      <c r="K238">
        <v>111.017956404082</v>
      </c>
    </row>
    <row r="239" spans="1:11" x14ac:dyDescent="0.25">
      <c r="A239" t="str">
        <f>VLOOKUP(C239,'[2]Ensaio 1'!$A$2:$E$28,5,FALSE)</f>
        <v>Control</v>
      </c>
      <c r="B239">
        <f>VLOOKUP(C239,'[2]Ensaio 1'!$A$2:$F$28,6,FALSE)</f>
        <v>3</v>
      </c>
      <c r="C239" s="36">
        <v>960000003688522</v>
      </c>
      <c r="D239" s="36">
        <v>960000003688522</v>
      </c>
      <c r="E239" s="1">
        <f t="shared" si="3"/>
        <v>44940</v>
      </c>
      <c r="F239" s="51">
        <v>44940.403368055602</v>
      </c>
      <c r="G239" s="51">
        <v>44940.405185185198</v>
      </c>
      <c r="H239" s="52">
        <v>1.782407407407E-3</v>
      </c>
      <c r="I239">
        <v>9.6808328628540039</v>
      </c>
      <c r="J239">
        <v>7689.9282088821301</v>
      </c>
      <c r="K239">
        <v>161.09803130499199</v>
      </c>
    </row>
    <row r="240" spans="1:11" x14ac:dyDescent="0.25">
      <c r="A240" t="str">
        <f>VLOOKUP(C240,'[2]Ensaio 1'!$A$2:$E$28,5,FALSE)</f>
        <v>Control</v>
      </c>
      <c r="B240">
        <f>VLOOKUP(C240,'[2]Ensaio 1'!$A$2:$F$28,6,FALSE)</f>
        <v>3</v>
      </c>
      <c r="C240" s="36">
        <v>960000003664778</v>
      </c>
      <c r="D240" s="36">
        <v>960000003664778</v>
      </c>
      <c r="E240" s="1">
        <f t="shared" si="3"/>
        <v>44940</v>
      </c>
      <c r="F240" s="51">
        <v>44940.480324074102</v>
      </c>
      <c r="G240" s="51">
        <v>44940.483865740702</v>
      </c>
      <c r="H240" s="52">
        <v>2.5462962962959999E-3</v>
      </c>
      <c r="I240">
        <v>11.527777671813965</v>
      </c>
      <c r="J240">
        <v>7337.4701461025797</v>
      </c>
      <c r="K240">
        <v>91.744594945415798</v>
      </c>
    </row>
    <row r="241" spans="1:11" x14ac:dyDescent="0.25">
      <c r="A241" t="str">
        <f>VLOOKUP(C241,'[2]Ensaio 1'!$A$2:$E$28,5,FALSE)</f>
        <v>Control</v>
      </c>
      <c r="B241">
        <f>VLOOKUP(C241,'[2]Ensaio 1'!$A$2:$F$28,6,FALSE)</f>
        <v>3</v>
      </c>
      <c r="C241" s="36">
        <v>960000003608633</v>
      </c>
      <c r="D241" s="36">
        <v>960000003608633</v>
      </c>
      <c r="E241" s="1">
        <f t="shared" si="3"/>
        <v>44940</v>
      </c>
      <c r="F241" s="51">
        <v>44940.555011574099</v>
      </c>
      <c r="G241" s="51">
        <v>44940.558726851901</v>
      </c>
      <c r="H241" s="52">
        <v>3.1597222222220001E-3</v>
      </c>
      <c r="I241">
        <v>13.320278167724609</v>
      </c>
      <c r="J241">
        <v>9031.3654019277092</v>
      </c>
      <c r="K241">
        <v>104.91679030040601</v>
      </c>
    </row>
    <row r="242" spans="1:11" x14ac:dyDescent="0.25">
      <c r="A242" t="str">
        <f>VLOOKUP(C242,'[2]Ensaio 1'!$A$2:$E$28,5,FALSE)</f>
        <v>Control</v>
      </c>
      <c r="B242">
        <f>VLOOKUP(C242,'[2]Ensaio 1'!$A$2:$F$28,6,FALSE)</f>
        <v>3</v>
      </c>
      <c r="C242" s="36">
        <v>960000003827766</v>
      </c>
      <c r="D242" s="36">
        <v>960000003827766</v>
      </c>
      <c r="E242" s="1">
        <f t="shared" si="3"/>
        <v>44940</v>
      </c>
      <c r="F242" s="51">
        <v>44940.684791666703</v>
      </c>
      <c r="G242" s="51">
        <v>44940.687939814801</v>
      </c>
      <c r="H242" s="52">
        <v>2.638888888889E-3</v>
      </c>
      <c r="I242">
        <v>16.434999465942383</v>
      </c>
      <c r="J242">
        <v>9520.0356904709897</v>
      </c>
      <c r="K242">
        <v>146.713320174426</v>
      </c>
    </row>
    <row r="243" spans="1:11" x14ac:dyDescent="0.25">
      <c r="A243" t="str">
        <f>VLOOKUP(C243,'[2]Ensaio 1'!$A$2:$E$28,5,FALSE)</f>
        <v>Control</v>
      </c>
      <c r="B243">
        <f>VLOOKUP(C243,'[2]Ensaio 1'!$A$2:$F$28,6,FALSE)</f>
        <v>3</v>
      </c>
      <c r="C243" s="36">
        <v>960000003664778</v>
      </c>
      <c r="D243" s="36">
        <v>960000003664778</v>
      </c>
      <c r="E243" s="1">
        <f t="shared" si="3"/>
        <v>44940</v>
      </c>
      <c r="F243" s="51">
        <v>44940.745393518497</v>
      </c>
      <c r="G243" s="51">
        <v>44940.7483333333</v>
      </c>
      <c r="H243" s="52">
        <v>2.8819444444439998E-3</v>
      </c>
      <c r="I243">
        <v>17.889444351196289</v>
      </c>
      <c r="J243">
        <v>8437.6777683507007</v>
      </c>
      <c r="K243">
        <v>143.47565967757799</v>
      </c>
    </row>
    <row r="244" spans="1:11" x14ac:dyDescent="0.25">
      <c r="A244" t="str">
        <f>VLOOKUP(C244,'[2]Ensaio 1'!$A$2:$E$28,5,FALSE)</f>
        <v>Control</v>
      </c>
      <c r="B244">
        <f>VLOOKUP(C244,'[2]Ensaio 1'!$A$2:$F$28,6,FALSE)</f>
        <v>3</v>
      </c>
      <c r="C244" s="36">
        <v>960000003827766</v>
      </c>
      <c r="D244" s="36">
        <v>960000003827766</v>
      </c>
      <c r="E244" s="1">
        <f t="shared" si="3"/>
        <v>44940</v>
      </c>
      <c r="F244" s="51">
        <v>44940.917175925897</v>
      </c>
      <c r="G244" s="51">
        <v>44940.9207060185</v>
      </c>
      <c r="H244" s="52">
        <v>2.5578703703700001E-3</v>
      </c>
      <c r="I244">
        <v>22.012222290039063</v>
      </c>
      <c r="J244">
        <v>7804.1063670056101</v>
      </c>
      <c r="K244">
        <v>72.556243477265696</v>
      </c>
    </row>
    <row r="245" spans="1:11" x14ac:dyDescent="0.25">
      <c r="A245" t="str">
        <f>VLOOKUP(C245,'[2]Ensaio 1'!$A$2:$E$28,5,FALSE)</f>
        <v>Control</v>
      </c>
      <c r="B245">
        <f>VLOOKUP(C245,'[2]Ensaio 1'!$A$2:$F$28,6,FALSE)</f>
        <v>3</v>
      </c>
      <c r="C245" s="36">
        <v>960000003608633</v>
      </c>
      <c r="D245" s="36">
        <v>960000003608633</v>
      </c>
      <c r="E245" s="1">
        <f t="shared" si="3"/>
        <v>44941</v>
      </c>
      <c r="F245" s="51">
        <v>44941.061666666697</v>
      </c>
      <c r="G245" s="51">
        <v>44941.065081018503</v>
      </c>
      <c r="H245" s="52">
        <v>3.3680555555560001E-3</v>
      </c>
      <c r="I245">
        <v>1.4800000190734861</v>
      </c>
      <c r="J245">
        <v>8715.2826034568097</v>
      </c>
      <c r="K245">
        <v>94.465768784243295</v>
      </c>
    </row>
    <row r="246" spans="1:11" x14ac:dyDescent="0.25">
      <c r="A246" t="str">
        <f>VLOOKUP(C246,'[2]Ensaio 1'!$A$2:$E$28,5,FALSE)</f>
        <v>Control</v>
      </c>
      <c r="B246">
        <f>VLOOKUP(C246,'[2]Ensaio 1'!$A$2:$F$28,6,FALSE)</f>
        <v>3</v>
      </c>
      <c r="C246" s="36">
        <v>960000003664778</v>
      </c>
      <c r="D246" s="36">
        <v>960000003664778</v>
      </c>
      <c r="E246" s="1">
        <f t="shared" si="3"/>
        <v>44941</v>
      </c>
      <c r="F246" s="51">
        <v>44941.067048611098</v>
      </c>
      <c r="G246" s="51">
        <v>44941.0714351852</v>
      </c>
      <c r="H246" s="52">
        <v>3.6805555555559999E-3</v>
      </c>
      <c r="I246">
        <v>1.609166622161865</v>
      </c>
      <c r="J246">
        <v>8340.7731855631191</v>
      </c>
      <c r="K246">
        <v>101.663484256223</v>
      </c>
    </row>
    <row r="247" spans="1:11" x14ac:dyDescent="0.25">
      <c r="A247" t="str">
        <f>VLOOKUP(C247,'[2]Ensaio 1'!$A$2:$E$28,5,FALSE)</f>
        <v>Control</v>
      </c>
      <c r="B247">
        <f>VLOOKUP(C247,'[2]Ensaio 1'!$A$2:$F$28,6,FALSE)</f>
        <v>3</v>
      </c>
      <c r="C247" s="36">
        <v>900248002084626</v>
      </c>
      <c r="D247" s="36">
        <v>900248002084626</v>
      </c>
      <c r="E247" s="1">
        <f t="shared" si="3"/>
        <v>44941</v>
      </c>
      <c r="F247" s="51">
        <v>44941.1124305556</v>
      </c>
      <c r="G247" s="51">
        <v>44941.115601851903</v>
      </c>
      <c r="H247" s="52">
        <v>2.7083333333329999E-3</v>
      </c>
      <c r="I247">
        <v>2.6983332633972168</v>
      </c>
      <c r="J247">
        <v>10076.2108935588</v>
      </c>
      <c r="K247">
        <v>218.390378646523</v>
      </c>
    </row>
    <row r="248" spans="1:11" x14ac:dyDescent="0.25">
      <c r="A248" t="str">
        <f>VLOOKUP(C248,'[2]Ensaio 1'!$A$2:$E$28,5,FALSE)</f>
        <v>Control</v>
      </c>
      <c r="B248">
        <f>VLOOKUP(C248,'[2]Ensaio 1'!$A$2:$F$28,6,FALSE)</f>
        <v>3</v>
      </c>
      <c r="C248" s="36">
        <v>960000003827766</v>
      </c>
      <c r="D248" s="36">
        <v>960000003827766</v>
      </c>
      <c r="E248" s="1">
        <f t="shared" si="3"/>
        <v>44941</v>
      </c>
      <c r="F248" s="51">
        <v>44941.154502314799</v>
      </c>
      <c r="G248" s="51">
        <v>44941.158113425903</v>
      </c>
      <c r="H248" s="52">
        <v>3.171296296296E-3</v>
      </c>
      <c r="I248">
        <v>3.7080554962158199</v>
      </c>
      <c r="J248">
        <v>7810.9867857254303</v>
      </c>
      <c r="K248">
        <v>79.521986418737001</v>
      </c>
    </row>
    <row r="249" spans="1:11" x14ac:dyDescent="0.25">
      <c r="A249" t="str">
        <f>VLOOKUP(C249,'[2]Ensaio 1'!$A$2:$E$28,5,FALSE)</f>
        <v>Control</v>
      </c>
      <c r="B249">
        <f>VLOOKUP(C249,'[2]Ensaio 1'!$A$2:$F$28,6,FALSE)</f>
        <v>3</v>
      </c>
      <c r="C249" s="36">
        <v>960000003608633</v>
      </c>
      <c r="D249" s="36">
        <v>960000003608633</v>
      </c>
      <c r="E249" s="1">
        <f t="shared" si="3"/>
        <v>44941</v>
      </c>
      <c r="F249" s="51">
        <v>44941.292280092603</v>
      </c>
      <c r="G249" s="51">
        <v>44941.295405092598</v>
      </c>
      <c r="H249" s="52">
        <v>2.9629629629630001E-3</v>
      </c>
      <c r="I249">
        <v>7.0147223472595206</v>
      </c>
      <c r="J249">
        <v>8593.2170700444894</v>
      </c>
      <c r="K249">
        <v>97.905334868912803</v>
      </c>
    </row>
    <row r="250" spans="1:11" x14ac:dyDescent="0.25">
      <c r="A250" t="str">
        <f>VLOOKUP(C250,'[2]Ensaio 1'!$A$2:$E$28,5,FALSE)</f>
        <v>Control</v>
      </c>
      <c r="B250">
        <f>VLOOKUP(C250,'[2]Ensaio 1'!$A$2:$F$28,6,FALSE)</f>
        <v>3</v>
      </c>
      <c r="C250" s="36">
        <v>960000003664778</v>
      </c>
      <c r="D250" s="36">
        <v>960000003664778</v>
      </c>
      <c r="E250" s="1">
        <f t="shared" si="3"/>
        <v>44941</v>
      </c>
      <c r="F250" s="51">
        <v>44941.3108333333</v>
      </c>
      <c r="G250" s="51">
        <v>44941.3140277778</v>
      </c>
      <c r="H250" s="52">
        <v>3.1018518518520001E-3</v>
      </c>
      <c r="I250">
        <v>7.4600000381469727</v>
      </c>
      <c r="J250">
        <v>7669.68963115729</v>
      </c>
      <c r="K250">
        <v>93.548259079052201</v>
      </c>
    </row>
    <row r="251" spans="1:11" x14ac:dyDescent="0.25">
      <c r="A251" t="str">
        <f>VLOOKUP(C251,'[2]Ensaio 1'!$A$2:$E$28,5,FALSE)</f>
        <v>Control</v>
      </c>
      <c r="B251">
        <f>VLOOKUP(C251,'[2]Ensaio 1'!$A$2:$F$28,6,FALSE)</f>
        <v>3</v>
      </c>
      <c r="C251" s="36">
        <v>960000003688522</v>
      </c>
      <c r="D251" s="36">
        <v>960000003688522</v>
      </c>
      <c r="E251" s="1">
        <f t="shared" si="3"/>
        <v>44941</v>
      </c>
      <c r="F251" s="51">
        <v>44941.357141203698</v>
      </c>
      <c r="G251" s="51">
        <v>44941.359293981499</v>
      </c>
      <c r="H251" s="52">
        <v>1.5162037037040001E-3</v>
      </c>
      <c r="I251">
        <v>8.5713891983032227</v>
      </c>
      <c r="J251">
        <v>7150.4397221784402</v>
      </c>
      <c r="K251">
        <v>115.03197558776</v>
      </c>
    </row>
    <row r="252" spans="1:11" x14ac:dyDescent="0.25">
      <c r="A252" t="str">
        <f>VLOOKUP(C252,'[2]Ensaio 1'!$A$2:$E$28,5,FALSE)</f>
        <v>Control</v>
      </c>
      <c r="B252">
        <f>VLOOKUP(C252,'[2]Ensaio 1'!$A$2:$F$28,6,FALSE)</f>
        <v>3</v>
      </c>
      <c r="C252" s="36">
        <v>900248002084626</v>
      </c>
      <c r="D252" s="36">
        <v>900248002084626</v>
      </c>
      <c r="E252" s="1">
        <f t="shared" si="3"/>
        <v>44941</v>
      </c>
      <c r="F252" s="51">
        <v>44941.385358796302</v>
      </c>
      <c r="G252" s="51">
        <v>44941.388472222199</v>
      </c>
      <c r="H252" s="52">
        <v>2.6157407407409999E-3</v>
      </c>
      <c r="I252">
        <v>9.2486114501953125</v>
      </c>
      <c r="J252">
        <v>8176.9442104682803</v>
      </c>
      <c r="K252">
        <v>89.622745626387498</v>
      </c>
    </row>
    <row r="253" spans="1:11" x14ac:dyDescent="0.25">
      <c r="A253" t="str">
        <f>VLOOKUP(C253,'[2]Ensaio 1'!$A$2:$E$28,5,FALSE)</f>
        <v>Control</v>
      </c>
      <c r="B253">
        <f>VLOOKUP(C253,'[2]Ensaio 1'!$A$2:$F$28,6,FALSE)</f>
        <v>3</v>
      </c>
      <c r="C253" s="36">
        <v>960000003608633</v>
      </c>
      <c r="D253" s="36">
        <v>960000003608633</v>
      </c>
      <c r="E253" s="1">
        <f t="shared" si="3"/>
        <v>44941</v>
      </c>
      <c r="F253" s="51">
        <v>44941.513055555602</v>
      </c>
      <c r="G253" s="51">
        <v>44941.516666666699</v>
      </c>
      <c r="H253" s="52">
        <v>3.1944444444440001E-3</v>
      </c>
      <c r="I253">
        <v>12.313333511352539</v>
      </c>
      <c r="J253">
        <v>9824.7930705472809</v>
      </c>
      <c r="K253">
        <v>146.074347909723</v>
      </c>
    </row>
    <row r="254" spans="1:11" x14ac:dyDescent="0.25">
      <c r="A254" t="str">
        <f>VLOOKUP(C254,'[2]Ensaio 1'!$A$2:$E$28,5,FALSE)</f>
        <v>Control</v>
      </c>
      <c r="B254">
        <f>VLOOKUP(C254,'[2]Ensaio 1'!$A$2:$F$28,6,FALSE)</f>
        <v>3</v>
      </c>
      <c r="C254" s="36">
        <v>960000003664778</v>
      </c>
      <c r="D254" s="36">
        <v>960000003664778</v>
      </c>
      <c r="E254" s="1">
        <f t="shared" si="3"/>
        <v>44941</v>
      </c>
      <c r="F254" s="51">
        <v>44941.5726967593</v>
      </c>
      <c r="G254" s="51">
        <v>44941.575081018498</v>
      </c>
      <c r="H254" s="52">
        <v>2.3148148148149999E-3</v>
      </c>
      <c r="I254">
        <v>13.744722366333008</v>
      </c>
      <c r="J254">
        <v>7679.9978298650003</v>
      </c>
      <c r="K254">
        <v>86.131500177952205</v>
      </c>
    </row>
    <row r="255" spans="1:11" x14ac:dyDescent="0.25">
      <c r="A255" t="str">
        <f>VLOOKUP(C255,'[2]Ensaio 1'!$A$2:$E$28,5,FALSE)</f>
        <v>Control</v>
      </c>
      <c r="B255">
        <f>VLOOKUP(C255,'[2]Ensaio 1'!$A$2:$F$28,6,FALSE)</f>
        <v>3</v>
      </c>
      <c r="C255" s="36">
        <v>960000003827766</v>
      </c>
      <c r="D255" s="36">
        <v>960000003827766</v>
      </c>
      <c r="E255" s="1">
        <f t="shared" si="3"/>
        <v>44941</v>
      </c>
      <c r="F255" s="51">
        <v>44941.593738425901</v>
      </c>
      <c r="G255" s="51">
        <v>44941.597372685203</v>
      </c>
      <c r="H255" s="52">
        <v>2.4305555555560001E-3</v>
      </c>
      <c r="I255">
        <v>14.249722480773926</v>
      </c>
      <c r="J255">
        <v>6659.1860886587301</v>
      </c>
      <c r="K255">
        <v>61.303492400789402</v>
      </c>
    </row>
    <row r="256" spans="1:11" x14ac:dyDescent="0.25">
      <c r="A256" t="str">
        <f>VLOOKUP(C256,'[2]Ensaio 1'!$A$2:$E$28,5,FALSE)</f>
        <v>Control</v>
      </c>
      <c r="B256">
        <f>VLOOKUP(C256,'[2]Ensaio 1'!$A$2:$F$28,6,FALSE)</f>
        <v>3</v>
      </c>
      <c r="C256" s="36">
        <v>960000003688522</v>
      </c>
      <c r="D256" s="36">
        <v>960000003688522</v>
      </c>
      <c r="E256" s="1">
        <f t="shared" si="3"/>
        <v>44941</v>
      </c>
      <c r="F256" s="51">
        <v>44941.667303240698</v>
      </c>
      <c r="G256" s="51">
        <v>44941.6694444444</v>
      </c>
      <c r="H256" s="52">
        <v>1.9444444444440001E-3</v>
      </c>
      <c r="I256">
        <v>16.015277862548828</v>
      </c>
      <c r="J256">
        <v>8146.9514504019498</v>
      </c>
      <c r="K256">
        <v>167.048537336967</v>
      </c>
    </row>
    <row r="257" spans="1:11" x14ac:dyDescent="0.25">
      <c r="A257" t="str">
        <f>VLOOKUP(C257,'[2]Ensaio 1'!$A$2:$E$28,5,FALSE)</f>
        <v>Control</v>
      </c>
      <c r="B257">
        <f>VLOOKUP(C257,'[2]Ensaio 1'!$A$2:$F$28,6,FALSE)</f>
        <v>3</v>
      </c>
      <c r="C257" s="36">
        <v>900248002084626</v>
      </c>
      <c r="D257" s="36">
        <v>900248002084626</v>
      </c>
      <c r="E257" s="1">
        <f t="shared" si="3"/>
        <v>44941</v>
      </c>
      <c r="F257" s="51">
        <v>44941.673414351899</v>
      </c>
      <c r="G257" s="51">
        <v>44941.675138888902</v>
      </c>
      <c r="H257" s="52">
        <v>1.4930555555559999E-3</v>
      </c>
      <c r="I257">
        <v>16.161945343017578</v>
      </c>
      <c r="J257">
        <v>8930.0548676165199</v>
      </c>
      <c r="K257">
        <v>126.9726375761</v>
      </c>
    </row>
    <row r="258" spans="1:11" x14ac:dyDescent="0.25">
      <c r="A258" t="str">
        <f>VLOOKUP(C258,'[2]Ensaio 1'!$A$2:$E$28,5,FALSE)</f>
        <v>Control</v>
      </c>
      <c r="B258">
        <f>VLOOKUP(C258,'[2]Ensaio 1'!$A$2:$F$28,6,FALSE)</f>
        <v>3</v>
      </c>
      <c r="C258" s="36">
        <v>960000003664778</v>
      </c>
      <c r="D258" s="36">
        <v>960000003664778</v>
      </c>
      <c r="E258" s="1">
        <f t="shared" ref="E258:E321" si="4">ROUNDDOWN(LEFT(F258,10),0)</f>
        <v>44941</v>
      </c>
      <c r="F258" s="51">
        <v>44941.878935185203</v>
      </c>
      <c r="G258" s="51">
        <v>44941.881412037001</v>
      </c>
      <c r="H258" s="52">
        <v>2.3263888888890001E-3</v>
      </c>
      <c r="I258">
        <v>21.094444274902344</v>
      </c>
      <c r="J258">
        <v>10210.3302380615</v>
      </c>
      <c r="K258">
        <v>141.31094795031001</v>
      </c>
    </row>
    <row r="259" spans="1:11" x14ac:dyDescent="0.25">
      <c r="A259" t="str">
        <f>VLOOKUP(C259,'[2]Ensaio 1'!$A$2:$E$28,5,FALSE)</f>
        <v>Control</v>
      </c>
      <c r="B259">
        <f>VLOOKUP(C259,'[2]Ensaio 1'!$A$2:$F$28,6,FALSE)</f>
        <v>3</v>
      </c>
      <c r="C259" s="36">
        <v>900248002084626</v>
      </c>
      <c r="D259" s="36">
        <v>900248002084626</v>
      </c>
      <c r="E259" s="1">
        <f t="shared" si="4"/>
        <v>44941</v>
      </c>
      <c r="F259" s="51">
        <v>44941.967754629601</v>
      </c>
      <c r="G259" s="51">
        <v>44941.970532407402</v>
      </c>
      <c r="H259" s="52">
        <v>2.743055555556E-3</v>
      </c>
      <c r="I259">
        <v>23.226110458374023</v>
      </c>
      <c r="J259">
        <v>8864.2762753233892</v>
      </c>
      <c r="K259">
        <v>113.203680087419</v>
      </c>
    </row>
    <row r="260" spans="1:11" x14ac:dyDescent="0.25">
      <c r="A260" t="str">
        <f>VLOOKUP(C260,'[2]Ensaio 1'!$A$2:$E$28,5,FALSE)</f>
        <v>Control</v>
      </c>
      <c r="B260">
        <f>VLOOKUP(C260,'[2]Ensaio 1'!$A$2:$F$28,6,FALSE)</f>
        <v>3</v>
      </c>
      <c r="C260" s="36">
        <v>960000003608633</v>
      </c>
      <c r="D260" s="36">
        <v>960000003608633</v>
      </c>
      <c r="E260" s="1">
        <f t="shared" si="4"/>
        <v>44941</v>
      </c>
      <c r="F260" s="51">
        <v>44941.991238425901</v>
      </c>
      <c r="G260" s="51">
        <v>44941.994872685202</v>
      </c>
      <c r="H260" s="52">
        <v>3.1828703703699998E-3</v>
      </c>
      <c r="I260">
        <v>23.789722442626953</v>
      </c>
      <c r="J260">
        <v>9086.1931272010606</v>
      </c>
      <c r="K260">
        <v>147.35820361049099</v>
      </c>
    </row>
    <row r="261" spans="1:11" x14ac:dyDescent="0.25">
      <c r="A261" t="str">
        <f>VLOOKUP(C261,'[2]Ensaio 1'!$A$2:$E$28,5,FALSE)</f>
        <v>Control</v>
      </c>
      <c r="B261">
        <f>VLOOKUP(C261,'[2]Ensaio 1'!$A$2:$F$28,6,FALSE)</f>
        <v>3</v>
      </c>
      <c r="C261" s="36">
        <v>960000003827766</v>
      </c>
      <c r="D261" s="36">
        <v>960000003827766</v>
      </c>
      <c r="E261" s="1">
        <f t="shared" si="4"/>
        <v>44942</v>
      </c>
      <c r="F261" s="51">
        <v>44942.004884259302</v>
      </c>
      <c r="G261" s="51">
        <v>44942.008136574099</v>
      </c>
      <c r="H261" s="52">
        <v>2.835648148148E-3</v>
      </c>
      <c r="I261">
        <v>0.117222219705582</v>
      </c>
      <c r="J261">
        <v>8269.7556233912692</v>
      </c>
      <c r="K261">
        <v>119.48333297278199</v>
      </c>
    </row>
    <row r="262" spans="1:11" x14ac:dyDescent="0.25">
      <c r="A262" t="str">
        <f>VLOOKUP(C262,'[2]Ensaio 1'!$A$2:$E$28,5,FALSE)</f>
        <v>Control</v>
      </c>
      <c r="B262">
        <f>VLOOKUP(C262,'[2]Ensaio 1'!$A$2:$F$28,6,FALSE)</f>
        <v>3</v>
      </c>
      <c r="C262" s="36">
        <v>960000003608633</v>
      </c>
      <c r="D262" s="36">
        <v>960000003608633</v>
      </c>
      <c r="E262" s="1">
        <f t="shared" si="4"/>
        <v>44942</v>
      </c>
      <c r="F262" s="51">
        <v>44942.066423611097</v>
      </c>
      <c r="G262" s="51">
        <v>44942.069351851896</v>
      </c>
      <c r="H262" s="52">
        <v>2.8819444444439998E-3</v>
      </c>
      <c r="I262">
        <v>1.59416663646698</v>
      </c>
      <c r="J262">
        <v>8327.1663833225994</v>
      </c>
      <c r="K262">
        <v>136.222427150908</v>
      </c>
    </row>
    <row r="263" spans="1:11" x14ac:dyDescent="0.25">
      <c r="A263" t="str">
        <f>VLOOKUP(C263,'[2]Ensaio 1'!$A$2:$E$28,5,FALSE)</f>
        <v>Control</v>
      </c>
      <c r="B263">
        <f>VLOOKUP(C263,'[2]Ensaio 1'!$A$2:$F$28,6,FALSE)</f>
        <v>3</v>
      </c>
      <c r="C263" s="36">
        <v>960000003664778</v>
      </c>
      <c r="D263" s="36">
        <v>960000003664778</v>
      </c>
      <c r="E263" s="1">
        <f t="shared" si="4"/>
        <v>44942</v>
      </c>
      <c r="F263" s="51">
        <v>44942.1078935185</v>
      </c>
      <c r="G263" s="51">
        <v>44942.1105439815</v>
      </c>
      <c r="H263" s="52">
        <v>2.037037037037E-3</v>
      </c>
      <c r="I263">
        <v>2.5894443988800049</v>
      </c>
      <c r="J263">
        <v>8000.68355857598</v>
      </c>
      <c r="K263">
        <v>115.067761449812</v>
      </c>
    </row>
    <row r="264" spans="1:11" x14ac:dyDescent="0.25">
      <c r="A264" t="str">
        <f>VLOOKUP(C264,'[2]Ensaio 1'!$A$2:$E$28,5,FALSE)</f>
        <v>Control</v>
      </c>
      <c r="B264">
        <f>VLOOKUP(C264,'[2]Ensaio 1'!$A$2:$F$28,6,FALSE)</f>
        <v>3</v>
      </c>
      <c r="C264" s="36">
        <v>900248002084626</v>
      </c>
      <c r="D264" s="36">
        <v>900248002084626</v>
      </c>
      <c r="E264" s="1">
        <f t="shared" si="4"/>
        <v>44942</v>
      </c>
      <c r="F264" s="51">
        <v>44942.111481481501</v>
      </c>
      <c r="G264" s="51">
        <v>44942.115266203698</v>
      </c>
      <c r="H264" s="52">
        <v>2.9513888888889998E-3</v>
      </c>
      <c r="I264">
        <v>2.6755554676055908</v>
      </c>
      <c r="J264">
        <v>8455.4695775919408</v>
      </c>
      <c r="K264">
        <v>166.505125050869</v>
      </c>
    </row>
    <row r="265" spans="1:11" x14ac:dyDescent="0.25">
      <c r="A265" t="str">
        <f>VLOOKUP(C265,'[2]Ensaio 1'!$A$2:$E$28,5,FALSE)</f>
        <v>Control</v>
      </c>
      <c r="B265">
        <f>VLOOKUP(C265,'[2]Ensaio 1'!$A$2:$F$28,6,FALSE)</f>
        <v>3</v>
      </c>
      <c r="C265" s="36">
        <v>960000003608633</v>
      </c>
      <c r="D265" s="36">
        <v>960000003608633</v>
      </c>
      <c r="E265" s="1">
        <f t="shared" si="4"/>
        <v>44942</v>
      </c>
      <c r="F265" s="51">
        <v>44942.306145833303</v>
      </c>
      <c r="G265" s="51">
        <v>44942.309652777803</v>
      </c>
      <c r="H265" s="52">
        <v>2.835648148148E-3</v>
      </c>
      <c r="I265">
        <v>7.3474998474121094</v>
      </c>
      <c r="J265">
        <v>6903.0566470993599</v>
      </c>
      <c r="K265">
        <v>90.875361824622502</v>
      </c>
    </row>
    <row r="266" spans="1:11" x14ac:dyDescent="0.25">
      <c r="A266" t="str">
        <f>VLOOKUP(C266,'[2]Ensaio 1'!$A$2:$E$28,5,FALSE)</f>
        <v>Control</v>
      </c>
      <c r="B266">
        <f>VLOOKUP(C266,'[2]Ensaio 1'!$A$2:$F$28,6,FALSE)</f>
        <v>3</v>
      </c>
      <c r="C266" s="36">
        <v>960000003688522</v>
      </c>
      <c r="D266" s="36">
        <v>960000003688522</v>
      </c>
      <c r="E266" s="1">
        <f t="shared" si="4"/>
        <v>44942</v>
      </c>
      <c r="F266" s="51">
        <v>44942.3258796296</v>
      </c>
      <c r="G266" s="51">
        <v>44942.329282407401</v>
      </c>
      <c r="H266" s="52">
        <v>1.9675925925930001E-3</v>
      </c>
      <c r="I266">
        <v>7.8211112022399902</v>
      </c>
      <c r="J266">
        <v>6259.7514643642298</v>
      </c>
      <c r="K266">
        <v>101.478977152694</v>
      </c>
    </row>
    <row r="267" spans="1:11" x14ac:dyDescent="0.25">
      <c r="A267" t="str">
        <f>VLOOKUP(C267,'[2]Ensaio 1'!$A$2:$E$28,5,FALSE)</f>
        <v>Control</v>
      </c>
      <c r="B267">
        <f>VLOOKUP(C267,'[2]Ensaio 1'!$A$2:$F$28,6,FALSE)</f>
        <v>3</v>
      </c>
      <c r="C267" s="36">
        <v>960000003664778</v>
      </c>
      <c r="D267" s="36">
        <v>960000003664778</v>
      </c>
      <c r="E267" s="1">
        <f t="shared" si="4"/>
        <v>44942</v>
      </c>
      <c r="F267" s="51">
        <v>44942.332696759302</v>
      </c>
      <c r="G267" s="51">
        <v>44942.338020833296</v>
      </c>
      <c r="H267" s="52">
        <v>4.675925925926E-3</v>
      </c>
      <c r="I267">
        <v>7.9847221374511719</v>
      </c>
      <c r="J267">
        <v>7044.6467463156896</v>
      </c>
      <c r="K267">
        <v>133.077329655749</v>
      </c>
    </row>
    <row r="268" spans="1:11" x14ac:dyDescent="0.25">
      <c r="A268" t="str">
        <f>VLOOKUP(C268,'[2]Ensaio 1'!$A$2:$E$28,5,FALSE)</f>
        <v>Control</v>
      </c>
      <c r="B268">
        <f>VLOOKUP(C268,'[2]Ensaio 1'!$A$2:$F$28,6,FALSE)</f>
        <v>3</v>
      </c>
      <c r="C268" s="36">
        <v>960000003608633</v>
      </c>
      <c r="D268" s="36">
        <v>960000003608633</v>
      </c>
      <c r="E268" s="1">
        <f t="shared" si="4"/>
        <v>44942</v>
      </c>
      <c r="F268" s="51">
        <v>44942.351226851897</v>
      </c>
      <c r="G268" s="51">
        <v>44942.358356481498</v>
      </c>
      <c r="H268" s="52">
        <v>2.5231481481480002E-3</v>
      </c>
      <c r="I268">
        <v>8.4294443130493164</v>
      </c>
      <c r="J268">
        <v>8962.0150235865603</v>
      </c>
      <c r="K268">
        <v>145.53438300559901</v>
      </c>
    </row>
    <row r="269" spans="1:11" x14ac:dyDescent="0.25">
      <c r="A269" t="str">
        <f>VLOOKUP(C269,'[2]Ensaio 1'!$A$2:$E$28,5,FALSE)</f>
        <v>Control</v>
      </c>
      <c r="B269">
        <f>VLOOKUP(C269,'[2]Ensaio 1'!$A$2:$F$28,6,FALSE)</f>
        <v>4</v>
      </c>
      <c r="C269" s="36">
        <v>960000003687554</v>
      </c>
      <c r="D269" s="36">
        <v>960000003687554</v>
      </c>
      <c r="E269" s="1">
        <f t="shared" si="4"/>
        <v>44942</v>
      </c>
      <c r="F269" s="51">
        <v>44942.497731481497</v>
      </c>
      <c r="G269" s="51">
        <v>44942.5009027778</v>
      </c>
      <c r="H269" s="52">
        <v>3.1134259259259999E-3</v>
      </c>
      <c r="I269">
        <v>11.945555686950684</v>
      </c>
      <c r="J269">
        <v>8178.4516431167503</v>
      </c>
      <c r="K269">
        <v>165.37269410455599</v>
      </c>
    </row>
    <row r="270" spans="1:11" x14ac:dyDescent="0.25">
      <c r="A270" t="str">
        <f>VLOOKUP(C270,'[2]Ensaio 1'!$A$2:$E$28,5,FALSE)</f>
        <v>Control</v>
      </c>
      <c r="B270">
        <f>VLOOKUP(C270,'[2]Ensaio 1'!$A$2:$F$28,6,FALSE)</f>
        <v>4</v>
      </c>
      <c r="C270" s="36">
        <v>960000003599578</v>
      </c>
      <c r="D270" s="36">
        <v>960000003599578</v>
      </c>
      <c r="E270" s="1">
        <f t="shared" si="4"/>
        <v>44942</v>
      </c>
      <c r="F270" s="51">
        <v>44942.513530092598</v>
      </c>
      <c r="G270" s="51">
        <v>44942.519189814797</v>
      </c>
      <c r="H270" s="52">
        <v>5.4050925925930001E-3</v>
      </c>
      <c r="I270">
        <v>12.324722290039063</v>
      </c>
      <c r="J270">
        <v>8715.5741690552495</v>
      </c>
      <c r="K270">
        <v>241.69425755237199</v>
      </c>
    </row>
    <row r="271" spans="1:11" x14ac:dyDescent="0.25">
      <c r="A271" t="str">
        <f>VLOOKUP(C271,'[2]Ensaio 1'!$A$2:$E$28,5,FALSE)</f>
        <v>Control</v>
      </c>
      <c r="B271">
        <f>VLOOKUP(C271,'[2]Ensaio 1'!$A$2:$F$28,6,FALSE)</f>
        <v>4</v>
      </c>
      <c r="C271" s="36">
        <v>960000003516091</v>
      </c>
      <c r="D271" s="36">
        <v>960000003516091</v>
      </c>
      <c r="E271" s="1">
        <f t="shared" si="4"/>
        <v>44942</v>
      </c>
      <c r="F271" s="51">
        <v>44942.534722222197</v>
      </c>
      <c r="G271" s="51">
        <v>44942.541099536997</v>
      </c>
      <c r="H271" s="52">
        <v>4.0509259259260003E-3</v>
      </c>
      <c r="I271">
        <v>12.833333015441895</v>
      </c>
      <c r="J271">
        <v>6166.9269885762697</v>
      </c>
      <c r="K271">
        <v>63.204975827100697</v>
      </c>
    </row>
    <row r="272" spans="1:11" x14ac:dyDescent="0.25">
      <c r="A272" t="str">
        <f>VLOOKUP(C272,'[2]Ensaio 1'!$A$2:$E$28,5,FALSE)</f>
        <v>Control</v>
      </c>
      <c r="B272">
        <f>VLOOKUP(C272,'[2]Ensaio 1'!$A$2:$F$28,6,FALSE)</f>
        <v>4</v>
      </c>
      <c r="C272" s="36">
        <v>960000003516091</v>
      </c>
      <c r="D272" s="36">
        <v>960000003516091</v>
      </c>
      <c r="E272" s="1">
        <f t="shared" si="4"/>
        <v>44942</v>
      </c>
      <c r="F272" s="51">
        <v>44942.6082523148</v>
      </c>
      <c r="G272" s="51">
        <v>44942.611365740697</v>
      </c>
      <c r="H272" s="52">
        <v>1.8634259259260001E-3</v>
      </c>
      <c r="I272">
        <v>14.598055839538574</v>
      </c>
      <c r="J272">
        <v>6487.5254053666304</v>
      </c>
      <c r="K272">
        <v>47.6074840859605</v>
      </c>
    </row>
    <row r="273" spans="1:11" x14ac:dyDescent="0.25">
      <c r="A273" t="str">
        <f>VLOOKUP(C273,'[2]Ensaio 1'!$A$2:$E$28,5,FALSE)</f>
        <v>Control</v>
      </c>
      <c r="B273">
        <f>VLOOKUP(C273,'[2]Ensaio 1'!$A$2:$F$28,6,FALSE)</f>
        <v>4</v>
      </c>
      <c r="C273" s="36">
        <v>960000003688521</v>
      </c>
      <c r="D273" s="36">
        <v>960000003688521</v>
      </c>
      <c r="E273" s="1">
        <f t="shared" si="4"/>
        <v>44942</v>
      </c>
      <c r="F273" s="51">
        <v>44942.616006944401</v>
      </c>
      <c r="G273" s="51">
        <v>44942.625706018502</v>
      </c>
      <c r="H273" s="52">
        <v>5.7870370370370003E-3</v>
      </c>
      <c r="I273">
        <v>14.78416633605957</v>
      </c>
      <c r="J273">
        <v>6534.45021179588</v>
      </c>
      <c r="K273">
        <v>80.380206392188597</v>
      </c>
    </row>
    <row r="274" spans="1:11" x14ac:dyDescent="0.25">
      <c r="A274" t="str">
        <f>VLOOKUP(C274,'[2]Ensaio 1'!$A$2:$E$28,5,FALSE)</f>
        <v>Control</v>
      </c>
      <c r="B274">
        <f>VLOOKUP(C274,'[2]Ensaio 1'!$A$2:$F$28,6,FALSE)</f>
        <v>4</v>
      </c>
      <c r="C274" s="36">
        <v>960000003516091</v>
      </c>
      <c r="D274" s="36">
        <v>960000003516091</v>
      </c>
      <c r="E274" s="1">
        <f t="shared" si="4"/>
        <v>44942</v>
      </c>
      <c r="F274" s="51">
        <v>44942.694687499999</v>
      </c>
      <c r="G274" s="51">
        <v>44942.696724537003</v>
      </c>
      <c r="H274" s="52">
        <v>1.9675925925930001E-3</v>
      </c>
      <c r="I274">
        <v>16.672500610351563</v>
      </c>
      <c r="J274">
        <v>6535.9273975223796</v>
      </c>
      <c r="K274">
        <v>90.832893079904395</v>
      </c>
    </row>
    <row r="275" spans="1:11" x14ac:dyDescent="0.25">
      <c r="A275" t="str">
        <f>VLOOKUP(C275,'[2]Ensaio 1'!$A$2:$E$28,5,FALSE)</f>
        <v>Control</v>
      </c>
      <c r="B275">
        <f>VLOOKUP(C275,'[2]Ensaio 1'!$A$2:$F$28,6,FALSE)</f>
        <v>4</v>
      </c>
      <c r="C275" s="36">
        <v>960000003599578</v>
      </c>
      <c r="D275" s="36">
        <v>960000003599578</v>
      </c>
      <c r="E275" s="1">
        <f t="shared" si="4"/>
        <v>44942</v>
      </c>
      <c r="F275" s="51">
        <v>44942.696782407402</v>
      </c>
      <c r="G275" s="51">
        <v>44942.702141203699</v>
      </c>
      <c r="H275" s="52">
        <v>3.1597222222220001E-3</v>
      </c>
      <c r="I275">
        <v>16.7227783203125</v>
      </c>
      <c r="J275">
        <v>7535.1322170806097</v>
      </c>
      <c r="K275">
        <v>157.37400245754301</v>
      </c>
    </row>
    <row r="276" spans="1:11" x14ac:dyDescent="0.25">
      <c r="A276" t="str">
        <f>VLOOKUP(C276,'[2]Ensaio 1'!$A$2:$E$28,5,FALSE)</f>
        <v>Control</v>
      </c>
      <c r="B276">
        <f>VLOOKUP(C276,'[2]Ensaio 1'!$A$2:$F$28,6,FALSE)</f>
        <v>4</v>
      </c>
      <c r="C276" s="36">
        <v>960000003599578</v>
      </c>
      <c r="D276" s="36">
        <v>960000003599578</v>
      </c>
      <c r="E276" s="1">
        <f t="shared" si="4"/>
        <v>44942</v>
      </c>
      <c r="F276" s="51">
        <v>44942.765625</v>
      </c>
      <c r="G276" s="51">
        <v>44942.771493055603</v>
      </c>
      <c r="H276" s="52">
        <v>5.0925925925929998E-3</v>
      </c>
      <c r="I276">
        <v>18.375</v>
      </c>
      <c r="J276">
        <v>8951.8877262222595</v>
      </c>
      <c r="K276">
        <v>207.765494750003</v>
      </c>
    </row>
    <row r="277" spans="1:11" x14ac:dyDescent="0.25">
      <c r="A277" t="str">
        <f>VLOOKUP(C277,'[2]Ensaio 1'!$A$2:$E$28,5,FALSE)</f>
        <v>Control</v>
      </c>
      <c r="B277">
        <f>VLOOKUP(C277,'[2]Ensaio 1'!$A$2:$F$28,6,FALSE)</f>
        <v>4</v>
      </c>
      <c r="C277" s="36">
        <v>960000003687554</v>
      </c>
      <c r="D277" s="36">
        <v>960000003687554</v>
      </c>
      <c r="E277" s="1">
        <f t="shared" si="4"/>
        <v>44942</v>
      </c>
      <c r="F277" s="51">
        <v>44942.772372685198</v>
      </c>
      <c r="G277" s="51">
        <v>44942.775162037004</v>
      </c>
      <c r="H277" s="52">
        <v>2.6504629629629998E-3</v>
      </c>
      <c r="I277">
        <v>18.536945343017578</v>
      </c>
      <c r="J277">
        <v>9851.3380773508907</v>
      </c>
      <c r="K277">
        <v>174.186720983893</v>
      </c>
    </row>
    <row r="278" spans="1:11" x14ac:dyDescent="0.25">
      <c r="A278" t="str">
        <f>VLOOKUP(C278,'[2]Ensaio 1'!$A$2:$E$28,5,FALSE)</f>
        <v>Control</v>
      </c>
      <c r="B278">
        <f>VLOOKUP(C278,'[2]Ensaio 1'!$A$2:$F$28,6,FALSE)</f>
        <v>4</v>
      </c>
      <c r="C278" s="36">
        <v>960000003516091</v>
      </c>
      <c r="D278" s="36">
        <v>960000003516091</v>
      </c>
      <c r="E278" s="1">
        <f t="shared" si="4"/>
        <v>44942</v>
      </c>
      <c r="F278" s="51">
        <v>44942.783356481501</v>
      </c>
      <c r="G278" s="51">
        <v>44942.786655092597</v>
      </c>
      <c r="H278" s="52">
        <v>2.1180555555559998E-3</v>
      </c>
      <c r="I278">
        <v>18.800556182861328</v>
      </c>
      <c r="J278">
        <v>6972.1236272553297</v>
      </c>
      <c r="K278">
        <v>48.137043241045497</v>
      </c>
    </row>
    <row r="279" spans="1:11" x14ac:dyDescent="0.25">
      <c r="A279" t="str">
        <f>VLOOKUP(C279,'[2]Ensaio 1'!$A$2:$E$28,5,FALSE)</f>
        <v>Control</v>
      </c>
      <c r="B279">
        <f>VLOOKUP(C279,'[2]Ensaio 1'!$A$2:$F$28,6,FALSE)</f>
        <v>4</v>
      </c>
      <c r="C279" s="36">
        <v>960000003516091</v>
      </c>
      <c r="D279" s="36">
        <v>960000003516091</v>
      </c>
      <c r="E279" s="1">
        <f t="shared" si="4"/>
        <v>44942</v>
      </c>
      <c r="F279" s="51">
        <v>44942.9078240741</v>
      </c>
      <c r="G279" s="51">
        <v>44942.915833333303</v>
      </c>
      <c r="H279" s="52">
        <v>1.770833333333E-3</v>
      </c>
      <c r="I279">
        <v>21.787776947021484</v>
      </c>
      <c r="J279">
        <v>6720.1569862914803</v>
      </c>
      <c r="K279">
        <v>53.627759315529801</v>
      </c>
    </row>
    <row r="280" spans="1:11" x14ac:dyDescent="0.25">
      <c r="A280" t="str">
        <f>VLOOKUP(C280,'[2]Ensaio 1'!$A$2:$E$28,5,FALSE)</f>
        <v>Control</v>
      </c>
      <c r="B280">
        <f>VLOOKUP(C280,'[2]Ensaio 1'!$A$2:$F$28,6,FALSE)</f>
        <v>4</v>
      </c>
      <c r="C280" s="36">
        <v>960000003599578</v>
      </c>
      <c r="D280" s="36">
        <v>960000003599578</v>
      </c>
      <c r="E280" s="1">
        <f t="shared" si="4"/>
        <v>44942</v>
      </c>
      <c r="F280" s="51">
        <v>44942.968784722201</v>
      </c>
      <c r="G280" s="51">
        <v>44942.973437499997</v>
      </c>
      <c r="H280" s="52">
        <v>3.1597222222220001E-3</v>
      </c>
      <c r="I280">
        <v>23.250833511352539</v>
      </c>
      <c r="J280">
        <v>7525.3724252192496</v>
      </c>
      <c r="K280">
        <v>154.92724366288499</v>
      </c>
    </row>
    <row r="281" spans="1:11" x14ac:dyDescent="0.25">
      <c r="A281" t="str">
        <f>VLOOKUP(C281,'[2]Ensaio 1'!$A$2:$E$28,5,FALSE)</f>
        <v>Control</v>
      </c>
      <c r="B281">
        <f>VLOOKUP(C281,'[2]Ensaio 1'!$A$2:$F$28,6,FALSE)</f>
        <v>4</v>
      </c>
      <c r="C281" s="36">
        <v>960000003599578</v>
      </c>
      <c r="D281" s="36">
        <v>960000003599578</v>
      </c>
      <c r="E281" s="1">
        <f t="shared" si="4"/>
        <v>44943</v>
      </c>
      <c r="F281" s="51">
        <v>44943.068391203698</v>
      </c>
      <c r="G281" s="51">
        <v>44943.075104166703</v>
      </c>
      <c r="H281" s="52">
        <v>5.9953703703700002E-3</v>
      </c>
      <c r="I281">
        <v>1.641388893127441</v>
      </c>
      <c r="J281">
        <v>8049.9287604869996</v>
      </c>
      <c r="K281">
        <v>133.53845967880699</v>
      </c>
    </row>
    <row r="282" spans="1:11" x14ac:dyDescent="0.25">
      <c r="A282" t="str">
        <f>VLOOKUP(C282,'[2]Ensaio 1'!$A$2:$E$28,5,FALSE)</f>
        <v>Control</v>
      </c>
      <c r="B282">
        <f>VLOOKUP(C282,'[2]Ensaio 1'!$A$2:$F$28,6,FALSE)</f>
        <v>4</v>
      </c>
      <c r="C282" s="36">
        <v>960000003599578</v>
      </c>
      <c r="D282" s="36">
        <v>960000003599578</v>
      </c>
      <c r="E282" s="1">
        <f t="shared" si="4"/>
        <v>44943</v>
      </c>
      <c r="F282" s="51">
        <v>44943.089930555601</v>
      </c>
      <c r="G282" s="51">
        <v>44943.092685185198</v>
      </c>
      <c r="H282" s="52">
        <v>2.0833333333329998E-3</v>
      </c>
      <c r="I282">
        <v>2.158333301544189</v>
      </c>
      <c r="J282">
        <v>6464.5074869949804</v>
      </c>
      <c r="K282">
        <v>153.224237266747</v>
      </c>
    </row>
    <row r="283" spans="1:11" x14ac:dyDescent="0.25">
      <c r="A283" t="str">
        <f>VLOOKUP(C283,'[2]Ensaio 1'!$A$2:$E$28,5,FALSE)</f>
        <v>Control</v>
      </c>
      <c r="B283">
        <f>VLOOKUP(C283,'[2]Ensaio 1'!$A$2:$F$28,6,FALSE)</f>
        <v>4</v>
      </c>
      <c r="C283" s="36">
        <v>960000003516091</v>
      </c>
      <c r="D283" s="36">
        <v>960000003516091</v>
      </c>
      <c r="E283" s="1">
        <f t="shared" si="4"/>
        <v>44943</v>
      </c>
      <c r="F283" s="51">
        <v>44943.175821759301</v>
      </c>
      <c r="G283" s="51">
        <v>44943.182638888902</v>
      </c>
      <c r="H283" s="52">
        <v>3.9004629629630001E-3</v>
      </c>
      <c r="I283">
        <v>4.2197222709655762</v>
      </c>
      <c r="J283">
        <v>6319.65346331819</v>
      </c>
      <c r="K283">
        <v>48.25623795461</v>
      </c>
    </row>
    <row r="284" spans="1:11" x14ac:dyDescent="0.25">
      <c r="A284" t="str">
        <f>VLOOKUP(C284,'[2]Ensaio 1'!$A$2:$E$28,5,FALSE)</f>
        <v>Control</v>
      </c>
      <c r="B284">
        <f>VLOOKUP(C284,'[2]Ensaio 1'!$A$2:$F$28,6,FALSE)</f>
        <v>4</v>
      </c>
      <c r="C284" s="36">
        <v>960000003687554</v>
      </c>
      <c r="D284" s="36">
        <v>960000003687554</v>
      </c>
      <c r="E284" s="1">
        <f t="shared" si="4"/>
        <v>44943</v>
      </c>
      <c r="F284" s="51">
        <v>44943.187037037002</v>
      </c>
      <c r="G284" s="51">
        <v>44943.190474536997</v>
      </c>
      <c r="H284" s="52">
        <v>3.3564814814810002E-3</v>
      </c>
      <c r="I284">
        <v>4.4888887405395508</v>
      </c>
      <c r="J284">
        <v>8688.0316532970592</v>
      </c>
      <c r="K284">
        <v>137.778132900332</v>
      </c>
    </row>
    <row r="285" spans="1:11" x14ac:dyDescent="0.25">
      <c r="A285" t="str">
        <f>VLOOKUP(C285,'[2]Ensaio 1'!$A$2:$E$28,5,FALSE)</f>
        <v>Control</v>
      </c>
      <c r="B285">
        <f>VLOOKUP(C285,'[2]Ensaio 1'!$A$2:$F$28,6,FALSE)</f>
        <v>4</v>
      </c>
      <c r="C285" s="36">
        <v>960000003688521</v>
      </c>
      <c r="D285" s="36">
        <v>960000003688521</v>
      </c>
      <c r="E285" s="1">
        <f t="shared" si="4"/>
        <v>44943</v>
      </c>
      <c r="F285" s="51">
        <v>44943.284050925897</v>
      </c>
      <c r="G285" s="51">
        <v>44943.291296296302</v>
      </c>
      <c r="H285" s="52">
        <v>4.5601851851849997E-3</v>
      </c>
      <c r="I285">
        <v>6.8172221183776864</v>
      </c>
      <c r="J285">
        <v>6332.8337630554897</v>
      </c>
      <c r="K285">
        <v>47.591923798233701</v>
      </c>
    </row>
    <row r="286" spans="1:11" x14ac:dyDescent="0.25">
      <c r="A286" t="str">
        <f>VLOOKUP(C286,'[2]Ensaio 1'!$A$2:$E$28,5,FALSE)</f>
        <v>Control</v>
      </c>
      <c r="B286">
        <f>VLOOKUP(C286,'[2]Ensaio 1'!$A$2:$F$28,6,FALSE)</f>
        <v>4</v>
      </c>
      <c r="C286" s="36">
        <v>960000003599578</v>
      </c>
      <c r="D286" s="36">
        <v>960000003599578</v>
      </c>
      <c r="E286" s="1">
        <f t="shared" si="4"/>
        <v>44943</v>
      </c>
      <c r="F286" s="51">
        <v>44943.293831018498</v>
      </c>
      <c r="G286" s="51">
        <v>44943.298622685201</v>
      </c>
      <c r="H286" s="52">
        <v>4.6990740740739997E-3</v>
      </c>
      <c r="I286">
        <v>7.0519442558288574</v>
      </c>
      <c r="J286">
        <v>7635.6867801812496</v>
      </c>
      <c r="K286">
        <v>123.483804343974</v>
      </c>
    </row>
    <row r="287" spans="1:11" x14ac:dyDescent="0.25">
      <c r="A287" t="str">
        <f>VLOOKUP(C287,'[2]Ensaio 1'!$A$2:$E$28,5,FALSE)</f>
        <v>Control</v>
      </c>
      <c r="B287">
        <f>VLOOKUP(C287,'[2]Ensaio 1'!$A$2:$F$28,6,FALSE)</f>
        <v>4</v>
      </c>
      <c r="C287" s="36">
        <v>960000003599578</v>
      </c>
      <c r="D287" s="36">
        <v>960000003599578</v>
      </c>
      <c r="E287" s="1">
        <f t="shared" si="4"/>
        <v>44943</v>
      </c>
      <c r="F287" s="51">
        <v>44943.331689814797</v>
      </c>
      <c r="G287" s="51">
        <v>44943.334097222199</v>
      </c>
      <c r="H287" s="52">
        <v>1.631944444444E-3</v>
      </c>
      <c r="I287">
        <v>7.9605555534362793</v>
      </c>
      <c r="J287">
        <v>5527.1416135975396</v>
      </c>
      <c r="K287">
        <v>118.367131523664</v>
      </c>
    </row>
    <row r="288" spans="1:11" x14ac:dyDescent="0.25">
      <c r="A288" t="str">
        <f>VLOOKUP(C288,'[2]Ensaio 1'!$A$2:$E$28,5,FALSE)</f>
        <v>Control</v>
      </c>
      <c r="B288">
        <f>VLOOKUP(C288,'[2]Ensaio 1'!$A$2:$F$28,6,FALSE)</f>
        <v>4</v>
      </c>
      <c r="C288" s="36">
        <v>960000003516091</v>
      </c>
      <c r="D288" s="36">
        <v>960000003516091</v>
      </c>
      <c r="E288" s="1">
        <f t="shared" si="4"/>
        <v>44943</v>
      </c>
      <c r="F288" s="51">
        <v>44943.412731481498</v>
      </c>
      <c r="G288" s="51">
        <v>44943.418275463002</v>
      </c>
      <c r="H288" s="52">
        <v>2.7777777777779999E-3</v>
      </c>
      <c r="I288">
        <v>9.9055557250976563</v>
      </c>
      <c r="J288">
        <v>5705.3014100460396</v>
      </c>
      <c r="K288">
        <v>42.6298770846644</v>
      </c>
    </row>
    <row r="289" spans="1:11" x14ac:dyDescent="0.25">
      <c r="A289" t="str">
        <f>VLOOKUP(C289,'[2]Ensaio 1'!$A$2:$E$28,5,FALSE)</f>
        <v>Control</v>
      </c>
      <c r="B289">
        <f>VLOOKUP(C289,'[2]Ensaio 1'!$A$2:$F$28,6,FALSE)</f>
        <v>4</v>
      </c>
      <c r="C289" s="36">
        <v>960000003687554</v>
      </c>
      <c r="D289" s="36">
        <v>960000003687554</v>
      </c>
      <c r="E289" s="1">
        <f t="shared" si="4"/>
        <v>44943</v>
      </c>
      <c r="F289" s="51">
        <v>44943.546770833302</v>
      </c>
      <c r="G289" s="51">
        <v>44943.551157407397</v>
      </c>
      <c r="H289" s="52">
        <v>3.576388888889E-3</v>
      </c>
      <c r="I289">
        <v>13.122500419616699</v>
      </c>
      <c r="J289">
        <v>6781.3082180048004</v>
      </c>
      <c r="K289">
        <v>115.97418577445301</v>
      </c>
    </row>
    <row r="290" spans="1:11" x14ac:dyDescent="0.25">
      <c r="A290" t="str">
        <f>VLOOKUP(C290,'[2]Ensaio 1'!$A$2:$E$28,5,FALSE)</f>
        <v>Control</v>
      </c>
      <c r="B290">
        <f>VLOOKUP(C290,'[2]Ensaio 1'!$A$2:$F$28,6,FALSE)</f>
        <v>4</v>
      </c>
      <c r="C290" s="36">
        <v>960000003688521</v>
      </c>
      <c r="D290" s="36">
        <v>960000003688521</v>
      </c>
      <c r="E290" s="1">
        <f t="shared" si="4"/>
        <v>44943</v>
      </c>
      <c r="F290" s="51">
        <v>44943.570381944402</v>
      </c>
      <c r="G290" s="51">
        <v>44943.574571759302</v>
      </c>
      <c r="H290" s="52">
        <v>2.6504629629629998E-3</v>
      </c>
      <c r="I290">
        <v>13.689167022705078</v>
      </c>
      <c r="J290">
        <v>7374.2347217250699</v>
      </c>
      <c r="K290">
        <v>124.660012922486</v>
      </c>
    </row>
    <row r="291" spans="1:11" x14ac:dyDescent="0.25">
      <c r="A291" t="str">
        <f>VLOOKUP(C291,'[2]Ensaio 1'!$A$2:$E$28,5,FALSE)</f>
        <v>Control</v>
      </c>
      <c r="B291">
        <f>VLOOKUP(C291,'[2]Ensaio 1'!$A$2:$F$28,6,FALSE)</f>
        <v>4</v>
      </c>
      <c r="C291" s="36">
        <v>960000003599578</v>
      </c>
      <c r="D291" s="36">
        <v>960000003599578</v>
      </c>
      <c r="E291" s="1">
        <f t="shared" si="4"/>
        <v>44943</v>
      </c>
      <c r="F291" s="51">
        <v>44943.579351851899</v>
      </c>
      <c r="G291" s="51">
        <v>44943.583391203698</v>
      </c>
      <c r="H291" s="52">
        <v>3.9120370370370004E-3</v>
      </c>
      <c r="I291">
        <v>13.904444694519043</v>
      </c>
      <c r="J291">
        <v>8514.8894557726398</v>
      </c>
      <c r="K291">
        <v>177.885163826618</v>
      </c>
    </row>
    <row r="292" spans="1:11" x14ac:dyDescent="0.25">
      <c r="A292" t="str">
        <f>VLOOKUP(C292,'[2]Ensaio 1'!$A$2:$E$28,5,FALSE)</f>
        <v>Control</v>
      </c>
      <c r="B292">
        <f>VLOOKUP(C292,'[2]Ensaio 1'!$A$2:$F$28,6,FALSE)</f>
        <v>4</v>
      </c>
      <c r="C292" s="36">
        <v>960000003688521</v>
      </c>
      <c r="D292" s="36">
        <v>960000003688521</v>
      </c>
      <c r="E292" s="1">
        <f t="shared" si="4"/>
        <v>44943</v>
      </c>
      <c r="F292" s="51">
        <v>44943.595196759299</v>
      </c>
      <c r="G292" s="51">
        <v>44943.596793981502</v>
      </c>
      <c r="H292" s="52">
        <v>1.4930555555559999E-3</v>
      </c>
      <c r="I292">
        <v>14.284722328186035</v>
      </c>
      <c r="J292">
        <v>5942.1054063681904</v>
      </c>
      <c r="K292">
        <v>102.870595475095</v>
      </c>
    </row>
    <row r="293" spans="1:11" x14ac:dyDescent="0.25">
      <c r="A293" t="str">
        <f>VLOOKUP(C293,'[2]Ensaio 1'!$A$2:$E$28,5,FALSE)</f>
        <v>Control</v>
      </c>
      <c r="B293">
        <f>VLOOKUP(C293,'[2]Ensaio 1'!$A$2:$F$28,6,FALSE)</f>
        <v>4</v>
      </c>
      <c r="C293" s="36">
        <v>960000003599578</v>
      </c>
      <c r="D293" s="36">
        <v>960000003599578</v>
      </c>
      <c r="E293" s="1">
        <f t="shared" si="4"/>
        <v>44943</v>
      </c>
      <c r="F293" s="51">
        <v>44943.777442129598</v>
      </c>
      <c r="G293" s="51">
        <v>44943.7799884259</v>
      </c>
      <c r="H293" s="52">
        <v>2.5115740740739999E-3</v>
      </c>
      <c r="I293">
        <v>18.658611297607422</v>
      </c>
      <c r="J293">
        <v>8855.1636129120197</v>
      </c>
      <c r="K293">
        <v>188.70890030536501</v>
      </c>
    </row>
    <row r="294" spans="1:11" x14ac:dyDescent="0.25">
      <c r="A294" t="str">
        <f>VLOOKUP(C294,'[2]Ensaio 1'!$A$2:$E$28,5,FALSE)</f>
        <v>Control</v>
      </c>
      <c r="B294">
        <f>VLOOKUP(C294,'[2]Ensaio 1'!$A$2:$F$28,6,FALSE)</f>
        <v>4</v>
      </c>
      <c r="C294" s="36">
        <v>960000003599578</v>
      </c>
      <c r="D294" s="36">
        <v>960000003599578</v>
      </c>
      <c r="E294" s="1">
        <f t="shared" si="4"/>
        <v>44943</v>
      </c>
      <c r="F294" s="51">
        <v>44943.8664699074</v>
      </c>
      <c r="G294" s="51">
        <v>44943.870312500003</v>
      </c>
      <c r="H294" s="52">
        <v>3.240740740741E-3</v>
      </c>
      <c r="I294">
        <v>20.795278549194336</v>
      </c>
      <c r="J294">
        <v>9689.8479092481793</v>
      </c>
      <c r="K294">
        <v>190.02897654620699</v>
      </c>
    </row>
    <row r="295" spans="1:11" x14ac:dyDescent="0.25">
      <c r="A295" t="str">
        <f>VLOOKUP(C295,'[2]Ensaio 1'!$A$2:$E$28,5,FALSE)</f>
        <v>Control</v>
      </c>
      <c r="B295">
        <f>VLOOKUP(C295,'[2]Ensaio 1'!$A$2:$F$28,6,FALSE)</f>
        <v>4</v>
      </c>
      <c r="C295" s="36">
        <v>960000003687554</v>
      </c>
      <c r="D295" s="36">
        <v>960000003687554</v>
      </c>
      <c r="E295" s="1">
        <f t="shared" si="4"/>
        <v>44943</v>
      </c>
      <c r="F295" s="51">
        <v>44943.871284722198</v>
      </c>
      <c r="G295" s="51">
        <v>44943.8745949074</v>
      </c>
      <c r="H295" s="52">
        <v>3.171296296296E-3</v>
      </c>
      <c r="I295">
        <v>20.910833358764648</v>
      </c>
      <c r="J295">
        <v>9172.4290974733794</v>
      </c>
      <c r="K295">
        <v>155.14077773133801</v>
      </c>
    </row>
    <row r="296" spans="1:11" x14ac:dyDescent="0.25">
      <c r="A296" t="str">
        <f>VLOOKUP(C296,'[2]Ensaio 1'!$A$2:$E$28,5,FALSE)</f>
        <v>Control</v>
      </c>
      <c r="B296">
        <f>VLOOKUP(C296,'[2]Ensaio 1'!$A$2:$F$28,6,FALSE)</f>
        <v>4</v>
      </c>
      <c r="C296" s="36">
        <v>960000003599578</v>
      </c>
      <c r="D296" s="36">
        <v>960000003599578</v>
      </c>
      <c r="E296" s="1">
        <f t="shared" si="4"/>
        <v>44944</v>
      </c>
      <c r="F296" s="51">
        <v>44944.029236111099</v>
      </c>
      <c r="G296" s="51">
        <v>44944.036921296298</v>
      </c>
      <c r="H296" s="52">
        <v>5.4282407407409998E-3</v>
      </c>
      <c r="I296">
        <v>0.70166665315628096</v>
      </c>
      <c r="J296">
        <v>8000.9633122602199</v>
      </c>
      <c r="K296">
        <v>126.628483293065</v>
      </c>
    </row>
    <row r="297" spans="1:11" x14ac:dyDescent="0.25">
      <c r="A297" t="str">
        <f>VLOOKUP(C297,'[2]Ensaio 1'!$A$2:$E$28,5,FALSE)</f>
        <v>Control</v>
      </c>
      <c r="B297">
        <f>VLOOKUP(C297,'[2]Ensaio 1'!$A$2:$F$28,6,FALSE)</f>
        <v>4</v>
      </c>
      <c r="C297" s="36">
        <v>960000003687554</v>
      </c>
      <c r="D297" s="36">
        <v>960000003687554</v>
      </c>
      <c r="E297" s="1">
        <f t="shared" si="4"/>
        <v>44944</v>
      </c>
      <c r="F297" s="51">
        <v>44944.059340277803</v>
      </c>
      <c r="G297" s="51">
        <v>44944.061944444402</v>
      </c>
      <c r="H297" s="52">
        <v>2.5462962962959999E-3</v>
      </c>
      <c r="I297">
        <v>1.424166679382324</v>
      </c>
      <c r="J297">
        <v>9512.6932024163598</v>
      </c>
      <c r="K297">
        <v>103.904276992295</v>
      </c>
    </row>
    <row r="298" spans="1:11" x14ac:dyDescent="0.25">
      <c r="A298" t="str">
        <f>VLOOKUP(C298,'[2]Ensaio 1'!$A$2:$E$28,5,FALSE)</f>
        <v>Control</v>
      </c>
      <c r="B298">
        <f>VLOOKUP(C298,'[2]Ensaio 1'!$A$2:$F$28,6,FALSE)</f>
        <v>4</v>
      </c>
      <c r="C298" s="36">
        <v>960000003599578</v>
      </c>
      <c r="D298" s="36">
        <v>960000003599578</v>
      </c>
      <c r="E298" s="1">
        <f t="shared" si="4"/>
        <v>44944</v>
      </c>
      <c r="F298" s="51">
        <v>44944.1488425926</v>
      </c>
      <c r="G298" s="51">
        <v>44944.150833333297</v>
      </c>
      <c r="H298" s="52">
        <v>1.9675925925930001E-3</v>
      </c>
      <c r="I298">
        <v>3.572222232818604</v>
      </c>
      <c r="J298">
        <v>7830.7668087933098</v>
      </c>
      <c r="K298">
        <v>176.46400674036499</v>
      </c>
    </row>
    <row r="299" spans="1:11" x14ac:dyDescent="0.25">
      <c r="A299" t="str">
        <f>VLOOKUP(C299,'[2]Ensaio 1'!$A$2:$E$28,5,FALSE)</f>
        <v>Control</v>
      </c>
      <c r="B299">
        <f>VLOOKUP(C299,'[2]Ensaio 1'!$A$2:$F$28,6,FALSE)</f>
        <v>4</v>
      </c>
      <c r="C299" s="36">
        <v>960000003687554</v>
      </c>
      <c r="D299" s="36">
        <v>960000003687554</v>
      </c>
      <c r="E299" s="1">
        <f t="shared" si="4"/>
        <v>44944</v>
      </c>
      <c r="F299" s="51">
        <v>44944.287141203698</v>
      </c>
      <c r="G299" s="51">
        <v>44944.290555555599</v>
      </c>
      <c r="H299" s="52">
        <v>3.3564814814810002E-3</v>
      </c>
      <c r="I299">
        <v>6.8913888931274414</v>
      </c>
      <c r="J299">
        <v>7840.5126023536905</v>
      </c>
      <c r="K299">
        <v>90.757193485645203</v>
      </c>
    </row>
    <row r="300" spans="1:11" x14ac:dyDescent="0.25">
      <c r="A300" t="str">
        <f>VLOOKUP(C300,'[2]Ensaio 1'!$A$2:$E$28,5,FALSE)</f>
        <v>Control</v>
      </c>
      <c r="B300">
        <f>VLOOKUP(C300,'[2]Ensaio 1'!$A$2:$F$28,6,FALSE)</f>
        <v>4</v>
      </c>
      <c r="C300" s="36">
        <v>960000003599578</v>
      </c>
      <c r="D300" s="36">
        <v>960000003599578</v>
      </c>
      <c r="E300" s="1">
        <f t="shared" si="4"/>
        <v>44944</v>
      </c>
      <c r="F300" s="51">
        <v>44944.291689814803</v>
      </c>
      <c r="G300" s="51">
        <v>44944.300104166701</v>
      </c>
      <c r="H300" s="52">
        <v>4.7800925925930004E-3</v>
      </c>
      <c r="I300">
        <v>7.0005555152893066</v>
      </c>
      <c r="J300">
        <v>7567.8408596802601</v>
      </c>
      <c r="K300">
        <v>116.76181004279201</v>
      </c>
    </row>
    <row r="301" spans="1:11" x14ac:dyDescent="0.25">
      <c r="A301" t="str">
        <f>VLOOKUP(C301,'[2]Ensaio 1'!$A$2:$E$28,5,FALSE)</f>
        <v>Control</v>
      </c>
      <c r="B301">
        <f>VLOOKUP(C301,'[2]Ensaio 1'!$A$2:$F$28,6,FALSE)</f>
        <v>4</v>
      </c>
      <c r="C301" s="36">
        <v>960000003688521</v>
      </c>
      <c r="D301" s="36">
        <v>960000003688521</v>
      </c>
      <c r="E301" s="1">
        <f t="shared" si="4"/>
        <v>44944</v>
      </c>
      <c r="F301" s="51">
        <v>44944.310601851903</v>
      </c>
      <c r="G301" s="51">
        <v>44944.3175694444</v>
      </c>
      <c r="H301" s="52">
        <v>2.3148148148149999E-3</v>
      </c>
      <c r="I301">
        <v>7.454444408416748</v>
      </c>
      <c r="J301">
        <v>7431.9991483890599</v>
      </c>
      <c r="K301">
        <v>62.074466058147202</v>
      </c>
    </row>
    <row r="302" spans="1:11" x14ac:dyDescent="0.25">
      <c r="A302" t="str">
        <f>VLOOKUP(C302,'[2]Ensaio 1'!$A$2:$E$28,5,FALSE)</f>
        <v>Control</v>
      </c>
      <c r="B302">
        <f>VLOOKUP(C302,'[2]Ensaio 1'!$A$2:$F$28,6,FALSE)</f>
        <v>4</v>
      </c>
      <c r="C302" s="36">
        <v>960000003516091</v>
      </c>
      <c r="D302" s="36">
        <v>960000003516091</v>
      </c>
      <c r="E302" s="1">
        <f t="shared" si="4"/>
        <v>44944</v>
      </c>
      <c r="F302" s="51">
        <v>44944.374467592599</v>
      </c>
      <c r="G302" s="51">
        <v>44944.379907407398</v>
      </c>
      <c r="H302" s="52">
        <v>2.44212962963E-3</v>
      </c>
      <c r="I302">
        <v>8.9872226715087891</v>
      </c>
      <c r="J302">
        <v>6836.4990937964503</v>
      </c>
      <c r="K302">
        <v>48.079755260146001</v>
      </c>
    </row>
    <row r="303" spans="1:11" x14ac:dyDescent="0.25">
      <c r="A303" t="str">
        <f>VLOOKUP(C303,'[2]Ensaio 1'!$A$2:$E$28,5,FALSE)</f>
        <v>Control</v>
      </c>
      <c r="B303">
        <f>VLOOKUP(C303,'[2]Ensaio 1'!$A$2:$F$28,6,FALSE)</f>
        <v>4</v>
      </c>
      <c r="C303" s="36">
        <v>960000003599578</v>
      </c>
      <c r="D303" s="36">
        <v>960000003599578</v>
      </c>
      <c r="E303" s="1">
        <f t="shared" si="4"/>
        <v>44944</v>
      </c>
      <c r="F303" s="51">
        <v>44944.407430555599</v>
      </c>
      <c r="G303" s="51">
        <v>44944.409224536997</v>
      </c>
      <c r="H303" s="52">
        <v>1.770833333333E-3</v>
      </c>
      <c r="I303">
        <v>9.7783336639404297</v>
      </c>
      <c r="J303">
        <v>6434.9127276996496</v>
      </c>
      <c r="K303">
        <v>95.604446491545204</v>
      </c>
    </row>
    <row r="304" spans="1:11" x14ac:dyDescent="0.25">
      <c r="A304" t="str">
        <f>VLOOKUP(C304,'[2]Ensaio 1'!$A$2:$E$28,5,FALSE)</f>
        <v>Control</v>
      </c>
      <c r="B304">
        <f>VLOOKUP(C304,'[2]Ensaio 1'!$A$2:$F$28,6,FALSE)</f>
        <v>4</v>
      </c>
      <c r="C304" s="36">
        <v>960000003599578</v>
      </c>
      <c r="D304" s="36">
        <v>960000003599578</v>
      </c>
      <c r="E304" s="1">
        <f t="shared" si="4"/>
        <v>44944</v>
      </c>
      <c r="F304" s="51">
        <v>44944.599745370397</v>
      </c>
      <c r="G304" s="51">
        <v>44944.607569444401</v>
      </c>
      <c r="H304" s="52">
        <v>5.6597222222220002E-3</v>
      </c>
      <c r="I304">
        <v>14.393888473510742</v>
      </c>
      <c r="J304">
        <v>8877.7177618151309</v>
      </c>
      <c r="K304">
        <v>210.55934578779099</v>
      </c>
    </row>
    <row r="305" spans="1:11" x14ac:dyDescent="0.25">
      <c r="A305" t="str">
        <f>VLOOKUP(C305,'[2]Ensaio 1'!$A$2:$E$28,5,FALSE)</f>
        <v>Control</v>
      </c>
      <c r="B305">
        <f>VLOOKUP(C305,'[2]Ensaio 1'!$A$2:$F$28,6,FALSE)</f>
        <v>4</v>
      </c>
      <c r="C305" s="36">
        <v>960000003688521</v>
      </c>
      <c r="D305" s="36">
        <v>960000003688521</v>
      </c>
      <c r="E305" s="1">
        <f t="shared" si="4"/>
        <v>44944</v>
      </c>
      <c r="F305" s="51">
        <v>44944.611099537004</v>
      </c>
      <c r="G305" s="51">
        <v>44944.617025462998</v>
      </c>
      <c r="H305" s="52">
        <v>3.0555555555559998E-3</v>
      </c>
      <c r="I305">
        <v>14.666388511657715</v>
      </c>
      <c r="J305">
        <v>7938.8707015556101</v>
      </c>
      <c r="K305">
        <v>108.30440917572299</v>
      </c>
    </row>
    <row r="306" spans="1:11" x14ac:dyDescent="0.25">
      <c r="A306" t="str">
        <f>VLOOKUP(C306,'[2]Ensaio 1'!$A$2:$E$28,5,FALSE)</f>
        <v>Control</v>
      </c>
      <c r="B306">
        <f>VLOOKUP(C306,'[2]Ensaio 1'!$A$2:$F$28,6,FALSE)</f>
        <v>4</v>
      </c>
      <c r="C306" s="36">
        <v>960000003687554</v>
      </c>
      <c r="D306" s="36">
        <v>960000003687554</v>
      </c>
      <c r="E306" s="1">
        <f t="shared" si="4"/>
        <v>44944</v>
      </c>
      <c r="F306" s="51">
        <v>44944.682708333297</v>
      </c>
      <c r="G306" s="51">
        <v>44944.684374999997</v>
      </c>
      <c r="H306" s="52">
        <v>1.6435185185189999E-3</v>
      </c>
      <c r="I306">
        <v>16.385000228881836</v>
      </c>
      <c r="J306">
        <v>9150.7178322942309</v>
      </c>
      <c r="K306">
        <v>173.384361045357</v>
      </c>
    </row>
    <row r="307" spans="1:11" x14ac:dyDescent="0.25">
      <c r="A307" t="str">
        <f>VLOOKUP(C307,'[2]Ensaio 1'!$A$2:$E$28,5,FALSE)</f>
        <v>Control</v>
      </c>
      <c r="B307">
        <f>VLOOKUP(C307,'[2]Ensaio 1'!$A$2:$F$28,6,FALSE)</f>
        <v>4</v>
      </c>
      <c r="C307" s="36">
        <v>960000003516091</v>
      </c>
      <c r="D307" s="36">
        <v>960000003516091</v>
      </c>
      <c r="E307" s="1">
        <f t="shared" si="4"/>
        <v>44944</v>
      </c>
      <c r="F307" s="51">
        <v>44944.696712962999</v>
      </c>
      <c r="G307" s="51">
        <v>44944.702256944402</v>
      </c>
      <c r="H307" s="52">
        <v>3.472222222222E-3</v>
      </c>
      <c r="I307">
        <v>16.721111297607422</v>
      </c>
      <c r="J307">
        <v>7779.5568883162796</v>
      </c>
      <c r="K307">
        <v>92.709391794093904</v>
      </c>
    </row>
    <row r="308" spans="1:11" x14ac:dyDescent="0.25">
      <c r="A308" t="str">
        <f>VLOOKUP(C308,'[2]Ensaio 1'!$A$2:$E$28,5,FALSE)</f>
        <v>Control</v>
      </c>
      <c r="B308">
        <f>VLOOKUP(C308,'[2]Ensaio 1'!$A$2:$F$28,6,FALSE)</f>
        <v>4</v>
      </c>
      <c r="C308" s="36">
        <v>960000003688521</v>
      </c>
      <c r="D308" s="36">
        <v>960000003688521</v>
      </c>
      <c r="E308" s="1">
        <f t="shared" si="4"/>
        <v>44944</v>
      </c>
      <c r="F308" s="51">
        <v>44944.912511574097</v>
      </c>
      <c r="G308" s="51">
        <v>44944.915902777801</v>
      </c>
      <c r="H308" s="52">
        <v>2.037037037037E-3</v>
      </c>
      <c r="I308">
        <v>21.900278091430664</v>
      </c>
      <c r="J308">
        <v>7206.23790148854</v>
      </c>
      <c r="K308">
        <v>140.40025370853999</v>
      </c>
    </row>
    <row r="309" spans="1:11" x14ac:dyDescent="0.25">
      <c r="A309" t="str">
        <f>VLOOKUP(C309,'[2]Ensaio 1'!$A$2:$E$28,5,FALSE)</f>
        <v>Control</v>
      </c>
      <c r="B309">
        <f>VLOOKUP(C309,'[2]Ensaio 1'!$A$2:$F$28,6,FALSE)</f>
        <v>4</v>
      </c>
      <c r="C309" s="36">
        <v>960000003599578</v>
      </c>
      <c r="D309" s="36">
        <v>960000003599578</v>
      </c>
      <c r="E309" s="1">
        <f t="shared" si="4"/>
        <v>44944</v>
      </c>
      <c r="F309" s="51">
        <v>44944.947824074101</v>
      </c>
      <c r="G309" s="51">
        <v>44944.952523148102</v>
      </c>
      <c r="H309" s="52">
        <v>4.479166666667E-3</v>
      </c>
      <c r="I309">
        <v>22.747777938842773</v>
      </c>
      <c r="J309">
        <v>9250.4428292106404</v>
      </c>
      <c r="K309">
        <v>178.724120486391</v>
      </c>
    </row>
    <row r="310" spans="1:11" x14ac:dyDescent="0.25">
      <c r="A310" t="str">
        <f>VLOOKUP(C310,'[2]Ensaio 1'!$A$2:$E$28,5,FALSE)</f>
        <v>Control</v>
      </c>
      <c r="B310">
        <f>VLOOKUP(C310,'[2]Ensaio 1'!$A$2:$F$28,6,FALSE)</f>
        <v>4</v>
      </c>
      <c r="C310" s="36">
        <v>960000003516091</v>
      </c>
      <c r="D310" s="36">
        <v>960000003516091</v>
      </c>
      <c r="E310" s="1">
        <f t="shared" si="4"/>
        <v>44945</v>
      </c>
      <c r="F310" s="51">
        <v>44945.010081018503</v>
      </c>
      <c r="G310" s="51">
        <v>44945.012951388897</v>
      </c>
      <c r="H310" s="52">
        <v>2.5462962962959999E-3</v>
      </c>
      <c r="I310">
        <v>0.24194444715976701</v>
      </c>
      <c r="J310">
        <v>7119.4879880855497</v>
      </c>
      <c r="K310">
        <v>76.773878563926303</v>
      </c>
    </row>
    <row r="311" spans="1:11" x14ac:dyDescent="0.25">
      <c r="A311" t="str">
        <f>VLOOKUP(C311,'[2]Ensaio 1'!$A$2:$E$28,5,FALSE)</f>
        <v>Control</v>
      </c>
      <c r="B311">
        <f>VLOOKUP(C311,'[2]Ensaio 1'!$A$2:$F$28,6,FALSE)</f>
        <v>4</v>
      </c>
      <c r="C311" s="36">
        <v>960000003599578</v>
      </c>
      <c r="D311" s="36">
        <v>960000003599578</v>
      </c>
      <c r="E311" s="1">
        <f t="shared" si="4"/>
        <v>44945</v>
      </c>
      <c r="F311" s="51">
        <v>44945.026898148099</v>
      </c>
      <c r="G311" s="51">
        <v>44945.031585648103</v>
      </c>
      <c r="H311" s="52">
        <v>3.9814814814810003E-3</v>
      </c>
      <c r="I311">
        <v>0.64555555582046498</v>
      </c>
      <c r="J311">
        <v>9918.0815200765501</v>
      </c>
      <c r="K311">
        <v>184.14142148590801</v>
      </c>
    </row>
    <row r="312" spans="1:11" x14ac:dyDescent="0.25">
      <c r="A312" t="str">
        <f>VLOOKUP(C312,'[2]Ensaio 1'!$A$2:$E$28,5,FALSE)</f>
        <v>Control</v>
      </c>
      <c r="B312">
        <f>VLOOKUP(C312,'[2]Ensaio 1'!$A$2:$F$28,6,FALSE)</f>
        <v>4</v>
      </c>
      <c r="C312" s="36">
        <v>960000003688521</v>
      </c>
      <c r="D312" s="36">
        <v>960000003688521</v>
      </c>
      <c r="E312" s="1">
        <f t="shared" si="4"/>
        <v>44945</v>
      </c>
      <c r="F312" s="51">
        <v>44945.1</v>
      </c>
      <c r="G312" s="51">
        <v>44945.1036342593</v>
      </c>
      <c r="H312" s="52">
        <v>2.8587962962960001E-3</v>
      </c>
      <c r="I312">
        <v>2.4000000953674321</v>
      </c>
      <c r="J312">
        <v>8708.4099255026504</v>
      </c>
      <c r="K312">
        <v>171.80807576653999</v>
      </c>
    </row>
    <row r="313" spans="1:11" x14ac:dyDescent="0.25">
      <c r="A313" t="str">
        <f>VLOOKUP(C313,'[2]Ensaio 1'!$A$2:$E$28,5,FALSE)</f>
        <v>Control</v>
      </c>
      <c r="B313">
        <f>VLOOKUP(C313,'[2]Ensaio 1'!$A$2:$F$28,6,FALSE)</f>
        <v>4</v>
      </c>
      <c r="C313" s="36">
        <v>960000003599578</v>
      </c>
      <c r="D313" s="36">
        <v>960000003599578</v>
      </c>
      <c r="E313" s="1">
        <f t="shared" si="4"/>
        <v>44945</v>
      </c>
      <c r="F313" s="51">
        <v>44945.303356481498</v>
      </c>
      <c r="G313" s="51">
        <v>44945.307685185202</v>
      </c>
      <c r="H313" s="52">
        <v>4.2361111111109996E-3</v>
      </c>
      <c r="I313">
        <v>7.2805557250976563</v>
      </c>
      <c r="J313">
        <v>9112.1839178783594</v>
      </c>
      <c r="K313">
        <v>170.542641711106</v>
      </c>
    </row>
    <row r="314" spans="1:11" x14ac:dyDescent="0.25">
      <c r="A314" t="str">
        <f>VLOOKUP(C314,'[2]Ensaio 1'!$A$2:$E$28,5,FALSE)</f>
        <v>Control</v>
      </c>
      <c r="B314">
        <f>VLOOKUP(C314,'[2]Ensaio 1'!$A$2:$F$28,6,FALSE)</f>
        <v>4</v>
      </c>
      <c r="C314" s="36">
        <v>960000003516091</v>
      </c>
      <c r="D314" s="36">
        <v>960000003516091</v>
      </c>
      <c r="E314" s="1">
        <f t="shared" si="4"/>
        <v>44945</v>
      </c>
      <c r="F314" s="51">
        <v>44945.308923611097</v>
      </c>
      <c r="G314" s="51">
        <v>44945.313194444403</v>
      </c>
      <c r="H314" s="52">
        <v>2.303240740741E-3</v>
      </c>
      <c r="I314">
        <v>7.4141664505004883</v>
      </c>
      <c r="J314">
        <v>8560.7503167735904</v>
      </c>
      <c r="K314">
        <v>104.45991938884301</v>
      </c>
    </row>
    <row r="315" spans="1:11" x14ac:dyDescent="0.25">
      <c r="A315" t="str">
        <f>VLOOKUP(C315,'[2]Ensaio 1'!$A$2:$E$28,5,FALSE)</f>
        <v>Control</v>
      </c>
      <c r="B315">
        <f>VLOOKUP(C315,'[2]Ensaio 1'!$A$2:$F$28,6,FALSE)</f>
        <v>4</v>
      </c>
      <c r="C315" s="36">
        <v>960000003599578</v>
      </c>
      <c r="D315" s="36">
        <v>960000003599578</v>
      </c>
      <c r="E315" s="1">
        <f t="shared" si="4"/>
        <v>44945</v>
      </c>
      <c r="F315" s="51">
        <v>44945.325983796298</v>
      </c>
      <c r="G315" s="51">
        <v>44945.327569444402</v>
      </c>
      <c r="H315" s="52">
        <v>1.5625000000000001E-3</v>
      </c>
      <c r="I315">
        <v>7.8236112594604492</v>
      </c>
      <c r="J315">
        <v>9400.7936944344292</v>
      </c>
      <c r="K315">
        <v>169.652249647784</v>
      </c>
    </row>
    <row r="316" spans="1:11" x14ac:dyDescent="0.25">
      <c r="A316" t="str">
        <f>VLOOKUP(C316,'[2]Ensaio 1'!$A$2:$E$28,5,FALSE)</f>
        <v>Control</v>
      </c>
      <c r="B316">
        <f>VLOOKUP(C316,'[2]Ensaio 1'!$A$2:$F$28,6,FALSE)</f>
        <v>4</v>
      </c>
      <c r="C316" s="36">
        <v>960000003688521</v>
      </c>
      <c r="D316" s="36">
        <v>960000003688521</v>
      </c>
      <c r="E316" s="1">
        <f t="shared" si="4"/>
        <v>44945</v>
      </c>
      <c r="F316" s="51">
        <v>44945.368888888901</v>
      </c>
      <c r="G316" s="51">
        <v>44945.374293981498</v>
      </c>
      <c r="H316" s="52">
        <v>1.9097222222219999E-3</v>
      </c>
      <c r="I316">
        <v>8.8533334732055664</v>
      </c>
      <c r="J316">
        <v>6291.6505486813503</v>
      </c>
      <c r="K316">
        <v>58.108155645937202</v>
      </c>
    </row>
    <row r="317" spans="1:11" x14ac:dyDescent="0.25">
      <c r="A317" t="str">
        <f>VLOOKUP(C317,'[2]Ensaio 1'!$A$2:$E$28,5,FALSE)</f>
        <v>Control</v>
      </c>
      <c r="B317">
        <f>VLOOKUP(C317,'[2]Ensaio 1'!$A$2:$F$28,6,FALSE)</f>
        <v>4</v>
      </c>
      <c r="C317" s="36">
        <v>960000003516091</v>
      </c>
      <c r="D317" s="36">
        <v>960000003516091</v>
      </c>
      <c r="E317" s="1">
        <f t="shared" si="4"/>
        <v>44945</v>
      </c>
      <c r="F317" s="51">
        <v>44945.5229861111</v>
      </c>
      <c r="G317" s="51">
        <v>44945.528344907398</v>
      </c>
      <c r="H317" s="52">
        <v>1.736111111111E-3</v>
      </c>
      <c r="I317">
        <v>12.551666259765625</v>
      </c>
      <c r="J317">
        <v>6760.4021267430999</v>
      </c>
      <c r="K317">
        <v>31.730551477527001</v>
      </c>
    </row>
    <row r="318" spans="1:11" x14ac:dyDescent="0.25">
      <c r="A318" t="str">
        <f>VLOOKUP(C318,'[2]Ensaio 1'!$A$2:$E$28,5,FALSE)</f>
        <v>Control</v>
      </c>
      <c r="B318">
        <f>VLOOKUP(C318,'[2]Ensaio 1'!$A$2:$F$28,6,FALSE)</f>
        <v>4</v>
      </c>
      <c r="C318" s="36">
        <v>960000003599578</v>
      </c>
      <c r="D318" s="36">
        <v>960000003599578</v>
      </c>
      <c r="E318" s="1">
        <f t="shared" si="4"/>
        <v>44945</v>
      </c>
      <c r="F318" s="51">
        <v>44945.530868055597</v>
      </c>
      <c r="G318" s="51">
        <v>44945.533703703702</v>
      </c>
      <c r="H318" s="52">
        <v>2.7893518518520002E-3</v>
      </c>
      <c r="I318">
        <v>12.740833282470703</v>
      </c>
      <c r="J318">
        <v>8054.9028369161897</v>
      </c>
      <c r="K318">
        <v>149.67686663279599</v>
      </c>
    </row>
    <row r="319" spans="1:11" x14ac:dyDescent="0.25">
      <c r="A319" t="str">
        <f>VLOOKUP(C319,'[2]Ensaio 1'!$A$2:$E$28,5,FALSE)</f>
        <v>Control</v>
      </c>
      <c r="B319">
        <f>VLOOKUP(C319,'[2]Ensaio 1'!$A$2:$F$28,6,FALSE)</f>
        <v>4</v>
      </c>
      <c r="C319" s="36">
        <v>960000003688521</v>
      </c>
      <c r="D319" s="36">
        <v>960000003688521</v>
      </c>
      <c r="E319" s="1">
        <f t="shared" si="4"/>
        <v>44945</v>
      </c>
      <c r="F319" s="51">
        <v>44945.597708333298</v>
      </c>
      <c r="G319" s="51">
        <v>44945.600694444402</v>
      </c>
      <c r="H319" s="52">
        <v>2.5115740740739999E-3</v>
      </c>
      <c r="I319">
        <v>14.345000267028809</v>
      </c>
      <c r="J319">
        <v>6227.7153827214997</v>
      </c>
      <c r="K319">
        <v>64.978698307341205</v>
      </c>
    </row>
    <row r="320" spans="1:11" x14ac:dyDescent="0.25">
      <c r="A320" t="str">
        <f>VLOOKUP(C320,'[2]Ensaio 1'!$A$2:$E$28,5,FALSE)</f>
        <v>Control</v>
      </c>
      <c r="B320">
        <f>VLOOKUP(C320,'[2]Ensaio 1'!$A$2:$F$28,6,FALSE)</f>
        <v>4</v>
      </c>
      <c r="C320" s="36">
        <v>960000003687554</v>
      </c>
      <c r="D320" s="36">
        <v>960000003687554</v>
      </c>
      <c r="E320" s="1">
        <f t="shared" si="4"/>
        <v>44945</v>
      </c>
      <c r="F320" s="51">
        <v>44945.683449074102</v>
      </c>
      <c r="G320" s="51">
        <v>44945.687604166698</v>
      </c>
      <c r="H320" s="52">
        <v>3.9814814814810003E-3</v>
      </c>
      <c r="I320">
        <v>16.402778625488281</v>
      </c>
      <c r="J320">
        <v>8468.9361757411098</v>
      </c>
      <c r="K320">
        <v>151.70866429243199</v>
      </c>
    </row>
    <row r="321" spans="1:11" x14ac:dyDescent="0.25">
      <c r="A321" t="str">
        <f>VLOOKUP(C321,'[2]Ensaio 1'!$A$2:$E$28,5,FALSE)</f>
        <v>Control</v>
      </c>
      <c r="B321">
        <f>VLOOKUP(C321,'[2]Ensaio 1'!$A$2:$F$28,6,FALSE)</f>
        <v>4</v>
      </c>
      <c r="C321" s="36">
        <v>960000003516091</v>
      </c>
      <c r="D321" s="36">
        <v>960000003516091</v>
      </c>
      <c r="E321" s="1">
        <f t="shared" si="4"/>
        <v>44945</v>
      </c>
      <c r="F321" s="51">
        <v>44945.740868055596</v>
      </c>
      <c r="G321" s="51">
        <v>44945.744467592602</v>
      </c>
      <c r="H321" s="52">
        <v>1.9791666666669999E-3</v>
      </c>
      <c r="I321">
        <v>17.780834197998047</v>
      </c>
      <c r="J321">
        <v>6534.8948249462001</v>
      </c>
      <c r="K321">
        <v>46.620748746566697</v>
      </c>
    </row>
    <row r="322" spans="1:11" x14ac:dyDescent="0.25">
      <c r="A322" t="str">
        <f>VLOOKUP(C322,'[2]Ensaio 1'!$A$2:$E$28,5,FALSE)</f>
        <v>Control</v>
      </c>
      <c r="B322">
        <f>VLOOKUP(C322,'[2]Ensaio 1'!$A$2:$F$28,6,FALSE)</f>
        <v>4</v>
      </c>
      <c r="C322" s="36">
        <v>960000003599578</v>
      </c>
      <c r="D322" s="36">
        <v>960000003599578</v>
      </c>
      <c r="E322" s="1">
        <f t="shared" ref="E322:E385" si="5">ROUNDDOWN(LEFT(F322,10),0)</f>
        <v>44945</v>
      </c>
      <c r="F322" s="51">
        <v>44945.753692129598</v>
      </c>
      <c r="G322" s="51">
        <v>44945.757303240702</v>
      </c>
      <c r="H322" s="52">
        <v>3.5532407407409998E-3</v>
      </c>
      <c r="I322">
        <v>18.088611602783203</v>
      </c>
      <c r="J322">
        <v>8442.9683895531598</v>
      </c>
      <c r="K322">
        <v>211.09910632128501</v>
      </c>
    </row>
    <row r="323" spans="1:11" x14ac:dyDescent="0.25">
      <c r="A323" t="str">
        <f>VLOOKUP(C323,'[2]Ensaio 1'!$A$2:$E$28,5,FALSE)</f>
        <v>Control</v>
      </c>
      <c r="B323">
        <f>VLOOKUP(C323,'[2]Ensaio 1'!$A$2:$F$28,6,FALSE)</f>
        <v>4</v>
      </c>
      <c r="C323" s="36">
        <v>960000003688521</v>
      </c>
      <c r="D323" s="36">
        <v>960000003688521</v>
      </c>
      <c r="E323" s="1">
        <f t="shared" si="5"/>
        <v>44945</v>
      </c>
      <c r="F323" s="51">
        <v>44945.901053240697</v>
      </c>
      <c r="G323" s="51">
        <v>44945.904421296298</v>
      </c>
      <c r="H323" s="52">
        <v>2.337962962963E-3</v>
      </c>
      <c r="I323">
        <v>21.625278472900391</v>
      </c>
      <c r="J323">
        <v>8127.18373171455</v>
      </c>
      <c r="K323">
        <v>132.60636342799</v>
      </c>
    </row>
    <row r="324" spans="1:11" x14ac:dyDescent="0.25">
      <c r="A324" t="str">
        <f>VLOOKUP(C324,'[2]Ensaio 1'!$A$2:$E$28,5,FALSE)</f>
        <v>Control</v>
      </c>
      <c r="B324">
        <f>VLOOKUP(C324,'[2]Ensaio 1'!$A$2:$F$28,6,FALSE)</f>
        <v>4</v>
      </c>
      <c r="C324" s="36">
        <v>960000003599578</v>
      </c>
      <c r="D324" s="36">
        <v>960000003599578</v>
      </c>
      <c r="E324" s="1">
        <f t="shared" si="5"/>
        <v>44945</v>
      </c>
      <c r="F324" s="51">
        <v>44945.993287037003</v>
      </c>
      <c r="G324" s="51">
        <v>44945.997939814799</v>
      </c>
      <c r="H324" s="52">
        <v>3.9814814814810003E-3</v>
      </c>
      <c r="I324">
        <v>23.838888168334961</v>
      </c>
      <c r="J324">
        <v>9026.7687243698092</v>
      </c>
      <c r="K324">
        <v>122.61055556923201</v>
      </c>
    </row>
    <row r="325" spans="1:11" x14ac:dyDescent="0.25">
      <c r="A325" t="str">
        <f>VLOOKUP(C325,'[2]Ensaio 1'!$A$2:$E$28,5,FALSE)</f>
        <v>Control</v>
      </c>
      <c r="B325">
        <f>VLOOKUP(C325,'[2]Ensaio 1'!$A$2:$F$28,6,FALSE)</f>
        <v>4</v>
      </c>
      <c r="C325" s="36">
        <v>960000003599578</v>
      </c>
      <c r="D325" s="36">
        <v>960000003599578</v>
      </c>
      <c r="E325" s="1">
        <f t="shared" si="5"/>
        <v>44946</v>
      </c>
      <c r="F325" s="51">
        <v>44946.087569444397</v>
      </c>
      <c r="G325" s="51">
        <v>44946.091851851903</v>
      </c>
      <c r="H325" s="52">
        <v>4.2013888888890001E-3</v>
      </c>
      <c r="I325">
        <v>2.1016666889190669</v>
      </c>
      <c r="J325">
        <v>9523.6916954538392</v>
      </c>
      <c r="K325">
        <v>178.94985330813401</v>
      </c>
    </row>
    <row r="326" spans="1:11" x14ac:dyDescent="0.25">
      <c r="A326" t="str">
        <f>VLOOKUP(C326,'[2]Ensaio 1'!$A$2:$E$28,5,FALSE)</f>
        <v>Control</v>
      </c>
      <c r="B326">
        <f>VLOOKUP(C326,'[2]Ensaio 1'!$A$2:$F$28,6,FALSE)</f>
        <v>4</v>
      </c>
      <c r="C326" s="36">
        <v>960000003516091</v>
      </c>
      <c r="D326" s="36">
        <v>960000003516091</v>
      </c>
      <c r="E326" s="1">
        <f t="shared" si="5"/>
        <v>44946</v>
      </c>
      <c r="F326" s="51">
        <v>44946.149814814802</v>
      </c>
      <c r="G326" s="51">
        <v>44946.157719907402</v>
      </c>
      <c r="H326" s="52">
        <v>2.9513888888889998E-3</v>
      </c>
      <c r="I326">
        <v>3.5955555438995361</v>
      </c>
      <c r="J326">
        <v>7013.2841771957801</v>
      </c>
      <c r="K326">
        <v>33.743282708533499</v>
      </c>
    </row>
    <row r="327" spans="1:11" x14ac:dyDescent="0.25">
      <c r="A327" t="str">
        <f>VLOOKUP(C327,'[2]Ensaio 1'!$A$2:$E$28,5,FALSE)</f>
        <v>Control</v>
      </c>
      <c r="B327">
        <f>VLOOKUP(C327,'[2]Ensaio 1'!$A$2:$F$28,6,FALSE)</f>
        <v>4</v>
      </c>
      <c r="C327" s="36">
        <v>960000003688521</v>
      </c>
      <c r="D327" s="36">
        <v>960000003688521</v>
      </c>
      <c r="E327" s="1">
        <f t="shared" si="5"/>
        <v>44946</v>
      </c>
      <c r="F327" s="51">
        <v>44946.313148148103</v>
      </c>
      <c r="G327" s="51">
        <v>44946.318310185197</v>
      </c>
      <c r="H327" s="52">
        <v>2.0601851851850001E-3</v>
      </c>
      <c r="I327">
        <v>7.5155553817749023</v>
      </c>
      <c r="J327">
        <v>8091.2135164177598</v>
      </c>
      <c r="K327">
        <v>107.25555768772701</v>
      </c>
    </row>
    <row r="328" spans="1:11" x14ac:dyDescent="0.25">
      <c r="A328" t="str">
        <f>VLOOKUP(C328,'[2]Ensaio 1'!$A$2:$E$28,5,FALSE)</f>
        <v>Control</v>
      </c>
      <c r="B328">
        <f>VLOOKUP(C328,'[2]Ensaio 1'!$A$2:$F$28,6,FALSE)</f>
        <v>4</v>
      </c>
      <c r="C328" s="36">
        <v>960000003599578</v>
      </c>
      <c r="D328" s="36">
        <v>960000003599578</v>
      </c>
      <c r="E328" s="1">
        <f t="shared" si="5"/>
        <v>44946</v>
      </c>
      <c r="F328" s="51">
        <v>44946.320381944402</v>
      </c>
      <c r="G328" s="51">
        <v>44946.323831018497</v>
      </c>
      <c r="H328" s="52">
        <v>3.3796296296299999E-3</v>
      </c>
      <c r="I328">
        <v>7.6891665458679199</v>
      </c>
      <c r="J328">
        <v>8463.2599869481</v>
      </c>
      <c r="K328">
        <v>154.06524271758499</v>
      </c>
    </row>
    <row r="329" spans="1:11" x14ac:dyDescent="0.25">
      <c r="A329" t="str">
        <f>VLOOKUP(C329,'[2]Ensaio 1'!$A$2:$E$28,5,FALSE)</f>
        <v>Control</v>
      </c>
      <c r="B329">
        <f>VLOOKUP(C329,'[2]Ensaio 1'!$A$2:$F$28,6,FALSE)</f>
        <v>4</v>
      </c>
      <c r="C329" s="36">
        <v>960000003687554</v>
      </c>
      <c r="D329" s="36">
        <v>960000003687554</v>
      </c>
      <c r="E329" s="1">
        <f t="shared" si="5"/>
        <v>44946</v>
      </c>
      <c r="F329" s="51">
        <v>44946.324780092596</v>
      </c>
      <c r="G329" s="51">
        <v>44946.334745370397</v>
      </c>
      <c r="H329" s="52">
        <v>3.738425925926E-3</v>
      </c>
      <c r="I329">
        <v>7.7947220802307129</v>
      </c>
      <c r="J329">
        <v>7276.8290650259096</v>
      </c>
      <c r="K329">
        <v>42.104132071080997</v>
      </c>
    </row>
    <row r="330" spans="1:11" x14ac:dyDescent="0.25">
      <c r="A330" t="str">
        <f>VLOOKUP(C330,'[2]Ensaio 1'!$A$2:$E$28,5,FALSE)</f>
        <v>Control</v>
      </c>
      <c r="B330">
        <f>VLOOKUP(C330,'[2]Ensaio 1'!$A$2:$F$28,6,FALSE)</f>
        <v>4</v>
      </c>
      <c r="C330" s="36">
        <v>960000003688521</v>
      </c>
      <c r="D330" s="36">
        <v>960000003688521</v>
      </c>
      <c r="E330" s="1">
        <f t="shared" si="5"/>
        <v>44946</v>
      </c>
      <c r="F330" s="51">
        <v>44946.530289351896</v>
      </c>
      <c r="G330" s="51">
        <v>44946.534004629597</v>
      </c>
      <c r="H330" s="52">
        <v>3.541666666667E-3</v>
      </c>
      <c r="I330">
        <v>12.726943969726563</v>
      </c>
      <c r="J330">
        <v>7755.68676723507</v>
      </c>
      <c r="K330">
        <v>116.559679064764</v>
      </c>
    </row>
    <row r="331" spans="1:11" x14ac:dyDescent="0.25">
      <c r="A331" t="str">
        <f>VLOOKUP(C331,'[2]Ensaio 1'!$A$2:$E$28,5,FALSE)</f>
        <v>Control</v>
      </c>
      <c r="B331">
        <f>VLOOKUP(C331,'[2]Ensaio 1'!$A$2:$F$28,6,FALSE)</f>
        <v>4</v>
      </c>
      <c r="C331" s="36">
        <v>960000003599578</v>
      </c>
      <c r="D331" s="36">
        <v>960000003599578</v>
      </c>
      <c r="E331" s="1">
        <f t="shared" si="5"/>
        <v>44946</v>
      </c>
      <c r="F331" s="51">
        <v>44946.563101851898</v>
      </c>
      <c r="G331" s="51">
        <v>44946.566701388903</v>
      </c>
      <c r="H331" s="52">
        <v>3.5532407407409998E-3</v>
      </c>
      <c r="I331">
        <v>13.514444351196289</v>
      </c>
      <c r="J331">
        <v>8382.1428219050304</v>
      </c>
      <c r="K331">
        <v>133.24217227636001</v>
      </c>
    </row>
    <row r="332" spans="1:11" x14ac:dyDescent="0.25">
      <c r="A332" t="str">
        <f>VLOOKUP(C332,'[2]Ensaio 1'!$A$2:$E$28,5,FALSE)</f>
        <v>Control</v>
      </c>
      <c r="B332">
        <f>VLOOKUP(C332,'[2]Ensaio 1'!$A$2:$F$28,6,FALSE)</f>
        <v>4</v>
      </c>
      <c r="C332" s="36">
        <v>960000003516091</v>
      </c>
      <c r="D332" s="36">
        <v>960000003516091</v>
      </c>
      <c r="E332" s="1">
        <f t="shared" si="5"/>
        <v>44946</v>
      </c>
      <c r="F332" s="51">
        <v>44946.598414351902</v>
      </c>
      <c r="G332" s="51">
        <v>44946.606493055602</v>
      </c>
      <c r="H332" s="52">
        <v>2.1643518518520001E-3</v>
      </c>
      <c r="I332">
        <v>14.361944198608398</v>
      </c>
      <c r="J332">
        <v>7139.3913255920097</v>
      </c>
      <c r="K332">
        <v>52.286911532223002</v>
      </c>
    </row>
    <row r="333" spans="1:11" x14ac:dyDescent="0.25">
      <c r="A333" t="str">
        <f>VLOOKUP(C333,'[2]Ensaio 1'!$A$2:$E$28,5,FALSE)</f>
        <v>Control</v>
      </c>
      <c r="B333">
        <f>VLOOKUP(C333,'[2]Ensaio 1'!$A$2:$F$28,6,FALSE)</f>
        <v>4</v>
      </c>
      <c r="C333" s="36">
        <v>960000003687554</v>
      </c>
      <c r="D333" s="36">
        <v>960000003687554</v>
      </c>
      <c r="E333" s="1">
        <f t="shared" si="5"/>
        <v>44946</v>
      </c>
      <c r="F333" s="51">
        <v>44946.7007407407</v>
      </c>
      <c r="G333" s="51">
        <v>44946.704224537003</v>
      </c>
      <c r="H333" s="52">
        <v>3.4375E-3</v>
      </c>
      <c r="I333">
        <v>16.817777633666992</v>
      </c>
      <c r="J333">
        <v>8490.7513962885296</v>
      </c>
      <c r="K333">
        <v>121.185268053895</v>
      </c>
    </row>
    <row r="334" spans="1:11" x14ac:dyDescent="0.25">
      <c r="A334" t="str">
        <f>VLOOKUP(C334,'[2]Ensaio 1'!$A$2:$E$28,5,FALSE)</f>
        <v>Control</v>
      </c>
      <c r="B334">
        <f>VLOOKUP(C334,'[2]Ensaio 1'!$A$2:$F$28,6,FALSE)</f>
        <v>4</v>
      </c>
      <c r="C334" s="36">
        <v>960000003688521</v>
      </c>
      <c r="D334" s="36">
        <v>960000003688521</v>
      </c>
      <c r="E334" s="1">
        <f t="shared" si="5"/>
        <v>44946</v>
      </c>
      <c r="F334" s="51">
        <v>44946.763634259303</v>
      </c>
      <c r="G334" s="51">
        <v>44946.767997685201</v>
      </c>
      <c r="H334" s="52">
        <v>1.5277777777779999E-3</v>
      </c>
      <c r="I334">
        <v>18.32722282409668</v>
      </c>
      <c r="J334">
        <v>8753.3368263740304</v>
      </c>
      <c r="K334">
        <v>124.903908337394</v>
      </c>
    </row>
    <row r="335" spans="1:11" x14ac:dyDescent="0.25">
      <c r="A335" t="str">
        <f>VLOOKUP(C335,'[2]Ensaio 1'!$A$2:$E$28,5,FALSE)</f>
        <v>Control</v>
      </c>
      <c r="B335">
        <f>VLOOKUP(C335,'[2]Ensaio 1'!$A$2:$F$28,6,FALSE)</f>
        <v>4</v>
      </c>
      <c r="C335" s="36">
        <v>960000003599578</v>
      </c>
      <c r="D335" s="36">
        <v>960000003599578</v>
      </c>
      <c r="E335" s="1">
        <f t="shared" si="5"/>
        <v>44946</v>
      </c>
      <c r="F335" s="51">
        <v>44946.772847222201</v>
      </c>
      <c r="G335" s="51">
        <v>44946.778217592597</v>
      </c>
      <c r="H335" s="52">
        <v>5.1273148148150002E-3</v>
      </c>
      <c r="I335">
        <v>18.548334121704102</v>
      </c>
      <c r="J335">
        <v>8257.5605860484393</v>
      </c>
      <c r="K335">
        <v>208.70756392530399</v>
      </c>
    </row>
    <row r="336" spans="1:11" x14ac:dyDescent="0.25">
      <c r="A336" t="str">
        <f>VLOOKUP(C336,'[2]Ensaio 1'!$A$2:$E$28,5,FALSE)</f>
        <v>Control</v>
      </c>
      <c r="B336">
        <f>VLOOKUP(C336,'[2]Ensaio 1'!$A$2:$F$28,6,FALSE)</f>
        <v>4</v>
      </c>
      <c r="C336" s="36">
        <v>960000003599578</v>
      </c>
      <c r="D336" s="36">
        <v>960000003599578</v>
      </c>
      <c r="E336" s="1">
        <f t="shared" si="5"/>
        <v>44946</v>
      </c>
      <c r="F336" s="51">
        <v>44946.912789351903</v>
      </c>
      <c r="G336" s="51">
        <v>44946.915046296301</v>
      </c>
      <c r="H336" s="52">
        <v>2.233796296296E-3</v>
      </c>
      <c r="I336">
        <v>21.906944274902344</v>
      </c>
      <c r="J336">
        <v>7842.1138782539401</v>
      </c>
      <c r="K336">
        <v>134.07326324368199</v>
      </c>
    </row>
    <row r="337" spans="1:11" x14ac:dyDescent="0.25">
      <c r="A337" t="str">
        <f>VLOOKUP(C337,'[2]Ensaio 1'!$A$2:$E$28,5,FALSE)</f>
        <v>Control</v>
      </c>
      <c r="B337">
        <f>VLOOKUP(C337,'[2]Ensaio 1'!$A$2:$F$28,6,FALSE)</f>
        <v>4</v>
      </c>
      <c r="C337" s="36">
        <v>960000003687554</v>
      </c>
      <c r="D337" s="36">
        <v>960000003687554</v>
      </c>
      <c r="E337" s="1">
        <f t="shared" si="5"/>
        <v>44946</v>
      </c>
      <c r="F337" s="51">
        <v>44946.964004629597</v>
      </c>
      <c r="G337" s="51">
        <v>44946.967141203699</v>
      </c>
      <c r="H337" s="52">
        <v>3.1018518518520001E-3</v>
      </c>
      <c r="I337">
        <v>23.136110305786133</v>
      </c>
      <c r="J337">
        <v>8633.11947562559</v>
      </c>
      <c r="K337">
        <v>105.919724360161</v>
      </c>
    </row>
    <row r="338" spans="1:11" x14ac:dyDescent="0.25">
      <c r="A338" t="str">
        <f>VLOOKUP(C338,'[2]Ensaio 1'!$A$2:$E$28,5,FALSE)</f>
        <v>Control</v>
      </c>
      <c r="B338">
        <f>VLOOKUP(C338,'[2]Ensaio 1'!$A$2:$F$28,6,FALSE)</f>
        <v>4</v>
      </c>
      <c r="C338" s="36">
        <v>960000003516091</v>
      </c>
      <c r="D338" s="36">
        <v>960000003516091</v>
      </c>
      <c r="E338" s="1">
        <f t="shared" si="5"/>
        <v>44946</v>
      </c>
      <c r="F338" s="51">
        <v>44946.982789351903</v>
      </c>
      <c r="G338" s="51">
        <v>44946.987581018497</v>
      </c>
      <c r="H338" s="52">
        <v>2.8009259259260001E-3</v>
      </c>
      <c r="I338">
        <v>23.586944580078125</v>
      </c>
      <c r="J338">
        <v>6625.1988226304702</v>
      </c>
      <c r="K338">
        <v>34.021647892103701</v>
      </c>
    </row>
    <row r="339" spans="1:11" x14ac:dyDescent="0.25">
      <c r="A339" t="str">
        <f>VLOOKUP(C339,'[2]Ensaio 1'!$A$2:$E$28,5,FALSE)</f>
        <v>Control</v>
      </c>
      <c r="B339">
        <f>VLOOKUP(C339,'[2]Ensaio 1'!$A$2:$F$28,6,FALSE)</f>
        <v>4</v>
      </c>
      <c r="C339" s="36">
        <v>960000003599578</v>
      </c>
      <c r="D339" s="36">
        <v>960000003599578</v>
      </c>
      <c r="E339" s="1">
        <f t="shared" si="5"/>
        <v>44947</v>
      </c>
      <c r="F339" s="51">
        <v>44947.157719907402</v>
      </c>
      <c r="G339" s="51">
        <v>44947.160196759301</v>
      </c>
      <c r="H339" s="52">
        <v>2.44212962963E-3</v>
      </c>
      <c r="I339">
        <v>3.7852778434753418</v>
      </c>
      <c r="J339">
        <v>8713.4674304979799</v>
      </c>
      <c r="K339">
        <v>130.99369355527699</v>
      </c>
    </row>
    <row r="340" spans="1:11" x14ac:dyDescent="0.25">
      <c r="A340" t="str">
        <f>VLOOKUP(C340,'[2]Ensaio 1'!$A$2:$E$28,5,FALSE)</f>
        <v>Control</v>
      </c>
      <c r="B340">
        <f>VLOOKUP(C340,'[2]Ensaio 1'!$A$2:$F$28,6,FALSE)</f>
        <v>4</v>
      </c>
      <c r="C340" s="36">
        <v>960000003516091</v>
      </c>
      <c r="D340" s="36">
        <v>960000003516091</v>
      </c>
      <c r="E340" s="1">
        <f t="shared" si="5"/>
        <v>44947</v>
      </c>
      <c r="F340" s="51">
        <v>44947.305868055599</v>
      </c>
      <c r="G340" s="51">
        <v>44947.310648148101</v>
      </c>
      <c r="H340" s="52">
        <v>3.0439814814809999E-3</v>
      </c>
      <c r="I340">
        <v>7.3408331871032706</v>
      </c>
      <c r="J340">
        <v>6264.2407708210403</v>
      </c>
      <c r="K340">
        <v>31.1486347082188</v>
      </c>
    </row>
    <row r="341" spans="1:11" x14ac:dyDescent="0.25">
      <c r="A341" t="str">
        <f>VLOOKUP(C341,'[2]Ensaio 1'!$A$2:$E$28,5,FALSE)</f>
        <v>Control</v>
      </c>
      <c r="B341">
        <f>VLOOKUP(C341,'[2]Ensaio 1'!$A$2:$F$28,6,FALSE)</f>
        <v>4</v>
      </c>
      <c r="C341" s="36">
        <v>960000003687554</v>
      </c>
      <c r="D341" s="36">
        <v>960000003687554</v>
      </c>
      <c r="E341" s="1">
        <f t="shared" si="5"/>
        <v>44947</v>
      </c>
      <c r="F341" s="51">
        <v>44947.341550925899</v>
      </c>
      <c r="G341" s="51">
        <v>44947.343113425901</v>
      </c>
      <c r="H341" s="52">
        <v>1.539351851852E-3</v>
      </c>
      <c r="I341">
        <v>8.1972217559814453</v>
      </c>
      <c r="J341">
        <v>10021.7208347653</v>
      </c>
      <c r="K341">
        <v>169.89615824155601</v>
      </c>
    </row>
    <row r="342" spans="1:11" x14ac:dyDescent="0.25">
      <c r="A342" t="str">
        <f>VLOOKUP(C342,'[2]Ensaio 1'!$A$2:$E$28,5,FALSE)</f>
        <v>Control</v>
      </c>
      <c r="B342">
        <f>VLOOKUP(C342,'[2]Ensaio 1'!$A$2:$F$28,6,FALSE)</f>
        <v>4</v>
      </c>
      <c r="C342" s="36">
        <v>960000003516091</v>
      </c>
      <c r="D342" s="36">
        <v>960000003516091</v>
      </c>
      <c r="E342" s="1">
        <f t="shared" si="5"/>
        <v>44947</v>
      </c>
      <c r="F342" s="51">
        <v>44947.382696759298</v>
      </c>
      <c r="G342" s="51">
        <v>44947.386736111097</v>
      </c>
      <c r="H342" s="52">
        <v>2.7083333333329999E-3</v>
      </c>
      <c r="I342">
        <v>9.1847219467163086</v>
      </c>
      <c r="J342">
        <v>7842.5689101484504</v>
      </c>
      <c r="K342">
        <v>70.014570321083298</v>
      </c>
    </row>
    <row r="343" spans="1:11" x14ac:dyDescent="0.25">
      <c r="A343" t="str">
        <f>VLOOKUP(C343,'[2]Ensaio 1'!$A$2:$E$28,5,FALSE)</f>
        <v>Control</v>
      </c>
      <c r="B343">
        <f>VLOOKUP(C343,'[2]Ensaio 1'!$A$2:$F$28,6,FALSE)</f>
        <v>4</v>
      </c>
      <c r="C343" s="36">
        <v>960000003599578</v>
      </c>
      <c r="D343" s="36">
        <v>960000003599578</v>
      </c>
      <c r="E343" s="1">
        <f t="shared" si="5"/>
        <v>44947</v>
      </c>
      <c r="F343" s="51">
        <v>44947.3909375</v>
      </c>
      <c r="G343" s="51">
        <v>44947.396377314799</v>
      </c>
      <c r="H343" s="52">
        <v>3.738425925926E-3</v>
      </c>
      <c r="I343">
        <v>9.3824996948242188</v>
      </c>
      <c r="J343">
        <v>8344.3238624662008</v>
      </c>
      <c r="K343">
        <v>159.61624123758301</v>
      </c>
    </row>
    <row r="344" spans="1:11" x14ac:dyDescent="0.25">
      <c r="A344" t="str">
        <f>VLOOKUP(C344,'[2]Ensaio 1'!$A$2:$E$28,5,FALSE)</f>
        <v>Control</v>
      </c>
      <c r="B344">
        <f>VLOOKUP(C344,'[2]Ensaio 1'!$A$2:$F$28,6,FALSE)</f>
        <v>4</v>
      </c>
      <c r="C344" s="36">
        <v>960000003516091</v>
      </c>
      <c r="D344" s="36">
        <v>960000003516091</v>
      </c>
      <c r="E344" s="1">
        <f t="shared" si="5"/>
        <v>44947</v>
      </c>
      <c r="F344" s="51">
        <v>44947.5453009259</v>
      </c>
      <c r="G344" s="51">
        <v>44947.550543981502</v>
      </c>
      <c r="H344" s="52">
        <v>2.4305555555560001E-3</v>
      </c>
      <c r="I344">
        <v>13.087222099304199</v>
      </c>
      <c r="J344">
        <v>6559.60066074713</v>
      </c>
      <c r="K344">
        <v>35.915762684444701</v>
      </c>
    </row>
    <row r="345" spans="1:11" x14ac:dyDescent="0.25">
      <c r="A345" t="str">
        <f>VLOOKUP(C345,'[2]Ensaio 1'!$A$2:$E$28,5,FALSE)</f>
        <v>Control</v>
      </c>
      <c r="B345">
        <f>VLOOKUP(C345,'[2]Ensaio 1'!$A$2:$F$28,6,FALSE)</f>
        <v>4</v>
      </c>
      <c r="C345" s="36">
        <v>960000003687554</v>
      </c>
      <c r="D345" s="36">
        <v>960000003687554</v>
      </c>
      <c r="E345" s="1">
        <f t="shared" si="5"/>
        <v>44947</v>
      </c>
      <c r="F345" s="51">
        <v>44947.606273148202</v>
      </c>
      <c r="G345" s="51">
        <v>44947.609039351897</v>
      </c>
      <c r="H345" s="52">
        <v>2.731481481481E-3</v>
      </c>
      <c r="I345">
        <v>14.550555229187012</v>
      </c>
      <c r="J345">
        <v>8446.8127069919592</v>
      </c>
      <c r="K345">
        <v>107.182971037914</v>
      </c>
    </row>
    <row r="346" spans="1:11" x14ac:dyDescent="0.25">
      <c r="A346" t="str">
        <f>VLOOKUP(C346,'[2]Ensaio 1'!$A$2:$E$28,5,FALSE)</f>
        <v>Control</v>
      </c>
      <c r="B346">
        <f>VLOOKUP(C346,'[2]Ensaio 1'!$A$2:$F$28,6,FALSE)</f>
        <v>4</v>
      </c>
      <c r="C346" s="36">
        <v>960000003599578</v>
      </c>
      <c r="D346" s="36">
        <v>960000003599578</v>
      </c>
      <c r="E346" s="1">
        <f t="shared" si="5"/>
        <v>44947</v>
      </c>
      <c r="F346" s="51">
        <v>44947.6116666667</v>
      </c>
      <c r="G346" s="51">
        <v>44947.615312499998</v>
      </c>
      <c r="H346" s="52">
        <v>3.3680555555560001E-3</v>
      </c>
      <c r="I346">
        <v>14.680000305175781</v>
      </c>
      <c r="J346">
        <v>8293.9375067308101</v>
      </c>
      <c r="K346">
        <v>209.069884246898</v>
      </c>
    </row>
    <row r="347" spans="1:11" x14ac:dyDescent="0.25">
      <c r="A347" t="str">
        <f>VLOOKUP(C347,'[2]Ensaio 1'!$A$2:$E$28,5,FALSE)</f>
        <v>Control</v>
      </c>
      <c r="B347">
        <f>VLOOKUP(C347,'[2]Ensaio 1'!$A$2:$F$28,6,FALSE)</f>
        <v>4</v>
      </c>
      <c r="C347" s="36">
        <v>960000003688521</v>
      </c>
      <c r="D347" s="36">
        <v>960000003688521</v>
      </c>
      <c r="E347" s="1">
        <f t="shared" si="5"/>
        <v>44947</v>
      </c>
      <c r="F347" s="51">
        <v>44947.658703703702</v>
      </c>
      <c r="G347" s="51">
        <v>44947.664722222202</v>
      </c>
      <c r="H347" s="52">
        <v>2.0138888888889999E-3</v>
      </c>
      <c r="I347">
        <v>15.80888843536377</v>
      </c>
      <c r="J347">
        <v>8217.8748572223194</v>
      </c>
      <c r="K347">
        <v>195.05517697777501</v>
      </c>
    </row>
    <row r="348" spans="1:11" x14ac:dyDescent="0.25">
      <c r="A348" t="str">
        <f>VLOOKUP(C348,'[2]Ensaio 1'!$A$2:$E$28,5,FALSE)</f>
        <v>Control</v>
      </c>
      <c r="B348">
        <f>VLOOKUP(C348,'[2]Ensaio 1'!$A$2:$F$28,6,FALSE)</f>
        <v>4</v>
      </c>
      <c r="C348" s="36">
        <v>960000003516091</v>
      </c>
      <c r="D348" s="36">
        <v>960000003516091</v>
      </c>
      <c r="E348" s="1">
        <f t="shared" si="5"/>
        <v>44947</v>
      </c>
      <c r="F348" s="51">
        <v>44947.765023148102</v>
      </c>
      <c r="G348" s="51">
        <v>44947.767488425903</v>
      </c>
      <c r="H348" s="52">
        <v>2.002314814815E-3</v>
      </c>
      <c r="I348">
        <v>18.360555648803711</v>
      </c>
      <c r="J348">
        <v>8426.7931346576406</v>
      </c>
      <c r="K348">
        <v>103.035232745241</v>
      </c>
    </row>
    <row r="349" spans="1:11" x14ac:dyDescent="0.25">
      <c r="A349" t="str">
        <f>VLOOKUP(C349,'[2]Ensaio 1'!$A$2:$E$28,5,FALSE)</f>
        <v>Control</v>
      </c>
      <c r="B349">
        <f>VLOOKUP(C349,'[2]Ensaio 1'!$A$2:$F$28,6,FALSE)</f>
        <v>4</v>
      </c>
      <c r="C349" s="36">
        <v>960000003687554</v>
      </c>
      <c r="D349" s="36">
        <v>960000003687554</v>
      </c>
      <c r="E349" s="1">
        <f t="shared" si="5"/>
        <v>44947</v>
      </c>
      <c r="F349" s="51">
        <v>44947.912997685198</v>
      </c>
      <c r="G349" s="51">
        <v>44947.916296296302</v>
      </c>
      <c r="H349" s="52">
        <v>3.240740740741E-3</v>
      </c>
      <c r="I349">
        <v>21.911945343017578</v>
      </c>
      <c r="J349">
        <v>9388.2385900469399</v>
      </c>
      <c r="K349">
        <v>132.54234422568399</v>
      </c>
    </row>
    <row r="350" spans="1:11" x14ac:dyDescent="0.25">
      <c r="A350" t="str">
        <f>VLOOKUP(C350,'[2]Ensaio 1'!$A$2:$E$28,5,FALSE)</f>
        <v>Control</v>
      </c>
      <c r="B350">
        <f>VLOOKUP(C350,'[2]Ensaio 1'!$A$2:$F$28,6,FALSE)</f>
        <v>4</v>
      </c>
      <c r="C350" s="36">
        <v>960000003599578</v>
      </c>
      <c r="D350" s="36">
        <v>960000003599578</v>
      </c>
      <c r="E350" s="1">
        <f t="shared" si="5"/>
        <v>44947</v>
      </c>
      <c r="F350" s="51">
        <v>44947.916631944398</v>
      </c>
      <c r="G350" s="51">
        <v>44947.920173611099</v>
      </c>
      <c r="H350" s="52">
        <v>3.4259259259260002E-3</v>
      </c>
      <c r="I350">
        <v>21.999166488647461</v>
      </c>
      <c r="J350">
        <v>7963.8026888129898</v>
      </c>
      <c r="K350">
        <v>166.08746227023099</v>
      </c>
    </row>
    <row r="351" spans="1:11" x14ac:dyDescent="0.25">
      <c r="A351" t="str">
        <f>VLOOKUP(C351,'[2]Ensaio 1'!$A$2:$E$28,5,FALSE)</f>
        <v>Control</v>
      </c>
      <c r="B351">
        <f>VLOOKUP(C351,'[2]Ensaio 1'!$A$2:$F$28,6,FALSE)</f>
        <v>4</v>
      </c>
      <c r="C351" s="36">
        <v>960000003688521</v>
      </c>
      <c r="D351" s="36">
        <v>960000003688521</v>
      </c>
      <c r="E351" s="1">
        <f t="shared" si="5"/>
        <v>44947</v>
      </c>
      <c r="F351" s="51">
        <v>44947.976574074099</v>
      </c>
      <c r="G351" s="51">
        <v>44947.979733796303</v>
      </c>
      <c r="H351" s="52">
        <v>2.6157407407409999E-3</v>
      </c>
      <c r="I351">
        <v>23.437778472900391</v>
      </c>
      <c r="J351">
        <v>8023.5551187969704</v>
      </c>
      <c r="K351">
        <v>99.523850133904702</v>
      </c>
    </row>
    <row r="352" spans="1:11" x14ac:dyDescent="0.25">
      <c r="A352" t="str">
        <f>VLOOKUP(C352,'[2]Ensaio 1'!$A$2:$E$28,5,FALSE)</f>
        <v>Control</v>
      </c>
      <c r="B352">
        <f>VLOOKUP(C352,'[2]Ensaio 1'!$A$2:$F$28,6,FALSE)</f>
        <v>4</v>
      </c>
      <c r="C352" s="36">
        <v>960000003516091</v>
      </c>
      <c r="D352" s="36">
        <v>960000003516091</v>
      </c>
      <c r="E352" s="1">
        <f t="shared" si="5"/>
        <v>44947</v>
      </c>
      <c r="F352" s="51">
        <v>44947.987164351798</v>
      </c>
      <c r="G352" s="51">
        <v>44947.991701388899</v>
      </c>
      <c r="H352" s="52">
        <v>2.7893518518520002E-3</v>
      </c>
      <c r="I352">
        <v>23.691944122314453</v>
      </c>
      <c r="J352">
        <v>6901.1699502617803</v>
      </c>
      <c r="K352">
        <v>51.302961559298403</v>
      </c>
    </row>
    <row r="353" spans="1:11" x14ac:dyDescent="0.25">
      <c r="A353" t="str">
        <f>VLOOKUP(C353,'[2]Ensaio 1'!$A$2:$E$28,5,FALSE)</f>
        <v>Control</v>
      </c>
      <c r="B353">
        <f>VLOOKUP(C353,'[2]Ensaio 1'!$A$2:$F$28,6,FALSE)</f>
        <v>4</v>
      </c>
      <c r="C353" s="36">
        <v>960000003516091</v>
      </c>
      <c r="D353" s="36">
        <v>960000003516091</v>
      </c>
      <c r="E353" s="1">
        <f t="shared" si="5"/>
        <v>44948</v>
      </c>
      <c r="F353" s="51">
        <v>44948.004432870403</v>
      </c>
      <c r="G353" s="51">
        <v>44948.009953703702</v>
      </c>
      <c r="H353" s="52">
        <v>3.171296296296E-3</v>
      </c>
      <c r="I353">
        <v>0.106388889253139</v>
      </c>
      <c r="J353">
        <v>7473.2759635824896</v>
      </c>
      <c r="K353">
        <v>90.478657015409993</v>
      </c>
    </row>
    <row r="354" spans="1:11" x14ac:dyDescent="0.25">
      <c r="A354" t="str">
        <f>VLOOKUP(C354,'[2]Ensaio 1'!$A$2:$E$28,5,FALSE)</f>
        <v>Control</v>
      </c>
      <c r="B354">
        <f>VLOOKUP(C354,'[2]Ensaio 1'!$A$2:$F$28,6,FALSE)</f>
        <v>4</v>
      </c>
      <c r="C354" s="36">
        <v>960000003599578</v>
      </c>
      <c r="D354" s="36">
        <v>960000003599578</v>
      </c>
      <c r="E354" s="1">
        <f t="shared" si="5"/>
        <v>44948</v>
      </c>
      <c r="F354" s="51">
        <v>44948.099374999998</v>
      </c>
      <c r="G354" s="51">
        <v>44948.102812500001</v>
      </c>
      <c r="H354" s="52">
        <v>3.1828703703699998E-3</v>
      </c>
      <c r="I354">
        <v>2.3849999904632568</v>
      </c>
      <c r="J354">
        <v>8527.0565841585594</v>
      </c>
      <c r="K354">
        <v>143.412415938973</v>
      </c>
    </row>
    <row r="355" spans="1:11" x14ac:dyDescent="0.25">
      <c r="A355" t="str">
        <f>VLOOKUP(C355,'[2]Ensaio 1'!$A$2:$E$28,5,FALSE)</f>
        <v>Control</v>
      </c>
      <c r="B355">
        <f>VLOOKUP(C355,'[2]Ensaio 1'!$A$2:$F$28,6,FALSE)</f>
        <v>4</v>
      </c>
      <c r="C355" s="36">
        <v>960000003516091</v>
      </c>
      <c r="D355" s="36">
        <v>960000003516091</v>
      </c>
      <c r="E355" s="1">
        <f t="shared" si="5"/>
        <v>44948</v>
      </c>
      <c r="F355" s="51">
        <v>44948.280057870397</v>
      </c>
      <c r="G355" s="51">
        <v>44948.285486111097</v>
      </c>
      <c r="H355" s="52">
        <v>2.8240740740740002E-3</v>
      </c>
      <c r="I355">
        <v>6.7213888168334961</v>
      </c>
      <c r="J355">
        <v>6669.8232561429704</v>
      </c>
      <c r="K355">
        <v>58.128834671981302</v>
      </c>
    </row>
    <row r="356" spans="1:11" x14ac:dyDescent="0.25">
      <c r="A356" t="str">
        <f>VLOOKUP(C356,'[2]Ensaio 1'!$A$2:$E$28,5,FALSE)</f>
        <v>Control</v>
      </c>
      <c r="B356">
        <f>VLOOKUP(C356,'[2]Ensaio 1'!$A$2:$F$28,6,FALSE)</f>
        <v>4</v>
      </c>
      <c r="C356" s="36">
        <v>960000003687554</v>
      </c>
      <c r="D356" s="36">
        <v>960000003687554</v>
      </c>
      <c r="E356" s="1">
        <f t="shared" si="5"/>
        <v>44948</v>
      </c>
      <c r="F356" s="51">
        <v>44948.312824074099</v>
      </c>
      <c r="G356" s="51">
        <v>44948.316979166702</v>
      </c>
      <c r="H356" s="52">
        <v>2.939814814815E-3</v>
      </c>
      <c r="I356">
        <v>7.5077776908874512</v>
      </c>
      <c r="J356">
        <v>7268.8243150054304</v>
      </c>
      <c r="K356">
        <v>59.704861768309101</v>
      </c>
    </row>
    <row r="357" spans="1:11" x14ac:dyDescent="0.25">
      <c r="A357" t="str">
        <f>VLOOKUP(C357,'[2]Ensaio 1'!$A$2:$E$28,5,FALSE)</f>
        <v>Control</v>
      </c>
      <c r="B357">
        <f>VLOOKUP(C357,'[2]Ensaio 1'!$A$2:$F$28,6,FALSE)</f>
        <v>4</v>
      </c>
      <c r="C357" s="36">
        <v>960000003599578</v>
      </c>
      <c r="D357" s="36">
        <v>960000003599578</v>
      </c>
      <c r="E357" s="1">
        <f t="shared" si="5"/>
        <v>44948</v>
      </c>
      <c r="F357" s="51">
        <v>44948.373217592598</v>
      </c>
      <c r="G357" s="51">
        <v>44948.376851851899</v>
      </c>
      <c r="H357" s="52">
        <v>3.4490740740739999E-3</v>
      </c>
      <c r="I357">
        <v>8.9572219848632813</v>
      </c>
      <c r="J357">
        <v>7516.1198396769496</v>
      </c>
      <c r="K357">
        <v>129.07322757192901</v>
      </c>
    </row>
    <row r="358" spans="1:11" x14ac:dyDescent="0.25">
      <c r="A358" t="str">
        <f>VLOOKUP(C358,'[2]Ensaio 1'!$A$2:$E$28,5,FALSE)</f>
        <v>Control</v>
      </c>
      <c r="B358">
        <f>VLOOKUP(C358,'[2]Ensaio 1'!$A$2:$F$28,6,FALSE)</f>
        <v>4</v>
      </c>
      <c r="C358" s="36">
        <v>960000003688521</v>
      </c>
      <c r="D358" s="36">
        <v>960000003688521</v>
      </c>
      <c r="E358" s="1">
        <f t="shared" si="5"/>
        <v>44948</v>
      </c>
      <c r="F358" s="51">
        <v>44948.410486111097</v>
      </c>
      <c r="G358" s="51">
        <v>44948.415104166699</v>
      </c>
      <c r="H358" s="52">
        <v>2.6620370370370001E-3</v>
      </c>
      <c r="I358">
        <v>9.8516664505004883</v>
      </c>
      <c r="J358">
        <v>8377.2334120241794</v>
      </c>
      <c r="K358">
        <v>166.26704170780599</v>
      </c>
    </row>
    <row r="359" spans="1:11" x14ac:dyDescent="0.25">
      <c r="A359" t="str">
        <f>VLOOKUP(C359,'[2]Ensaio 1'!$A$2:$E$28,5,FALSE)</f>
        <v>Control</v>
      </c>
      <c r="B359">
        <f>VLOOKUP(C359,'[2]Ensaio 1'!$A$2:$F$28,6,FALSE)</f>
        <v>4</v>
      </c>
      <c r="C359" s="36">
        <v>960000003516091</v>
      </c>
      <c r="D359" s="36">
        <v>960000003516091</v>
      </c>
      <c r="E359" s="1">
        <f t="shared" si="5"/>
        <v>44948</v>
      </c>
      <c r="F359" s="51">
        <v>44948.548101851899</v>
      </c>
      <c r="G359" s="51">
        <v>44948.552372685197</v>
      </c>
      <c r="H359" s="52">
        <v>2.5925925925930002E-3</v>
      </c>
      <c r="I359">
        <v>13.154444694519043</v>
      </c>
      <c r="J359">
        <v>7041.6786166564398</v>
      </c>
      <c r="K359">
        <v>52.276141184367603</v>
      </c>
    </row>
    <row r="360" spans="1:11" x14ac:dyDescent="0.25">
      <c r="A360" t="str">
        <f>VLOOKUP(C360,'[2]Ensaio 1'!$A$2:$E$28,5,FALSE)</f>
        <v>Control</v>
      </c>
      <c r="B360">
        <f>VLOOKUP(C360,'[2]Ensaio 1'!$A$2:$F$28,6,FALSE)</f>
        <v>4</v>
      </c>
      <c r="C360" s="36">
        <v>960000003688521</v>
      </c>
      <c r="D360" s="36">
        <v>960000003688521</v>
      </c>
      <c r="E360" s="1">
        <f t="shared" si="5"/>
        <v>44948</v>
      </c>
      <c r="F360" s="51">
        <v>44948.643263888902</v>
      </c>
      <c r="G360" s="51">
        <v>44948.646608796298</v>
      </c>
      <c r="H360" s="52">
        <v>2.7083333333329999E-3</v>
      </c>
      <c r="I360">
        <v>15.438333511352539</v>
      </c>
      <c r="J360">
        <v>8266.6283805793191</v>
      </c>
      <c r="K360">
        <v>135.05197188172801</v>
      </c>
    </row>
    <row r="361" spans="1:11" x14ac:dyDescent="0.25">
      <c r="A361" t="str">
        <f>VLOOKUP(C361,'[2]Ensaio 1'!$A$2:$E$28,5,FALSE)</f>
        <v>Control</v>
      </c>
      <c r="B361">
        <f>VLOOKUP(C361,'[2]Ensaio 1'!$A$2:$F$28,6,FALSE)</f>
        <v>4</v>
      </c>
      <c r="C361" s="36">
        <v>960000003599578</v>
      </c>
      <c r="D361" s="36">
        <v>960000003599578</v>
      </c>
      <c r="E361" s="1">
        <f t="shared" si="5"/>
        <v>44948</v>
      </c>
      <c r="F361" s="51">
        <v>44948.667453703703</v>
      </c>
      <c r="G361" s="51">
        <v>44948.676006944399</v>
      </c>
      <c r="H361" s="52">
        <v>4.9305555555560002E-3</v>
      </c>
      <c r="I361">
        <v>16.018888473510742</v>
      </c>
      <c r="J361">
        <v>8916.7302912548294</v>
      </c>
      <c r="K361">
        <v>208.727621062601</v>
      </c>
    </row>
    <row r="362" spans="1:11" x14ac:dyDescent="0.25">
      <c r="A362" t="str">
        <f>VLOOKUP(C362,'[2]Ensaio 1'!$A$2:$E$28,5,FALSE)</f>
        <v>Control</v>
      </c>
      <c r="B362">
        <f>VLOOKUP(C362,'[2]Ensaio 1'!$A$2:$F$28,6,FALSE)</f>
        <v>4</v>
      </c>
      <c r="C362" s="36">
        <v>960000003687554</v>
      </c>
      <c r="D362" s="36">
        <v>960000003687554</v>
      </c>
      <c r="E362" s="1">
        <f t="shared" si="5"/>
        <v>44948</v>
      </c>
      <c r="F362" s="51">
        <v>44948.6776157407</v>
      </c>
      <c r="G362" s="51">
        <v>44948.681030092601</v>
      </c>
      <c r="H362" s="52">
        <v>3.3449074074069999E-3</v>
      </c>
      <c r="I362">
        <v>16.262777328491211</v>
      </c>
      <c r="J362">
        <v>9004.7669959457708</v>
      </c>
      <c r="K362">
        <v>131.140154118574</v>
      </c>
    </row>
    <row r="363" spans="1:11" x14ac:dyDescent="0.25">
      <c r="A363" t="str">
        <f>VLOOKUP(C363,'[2]Ensaio 1'!$A$2:$E$28,5,FALSE)</f>
        <v>Control</v>
      </c>
      <c r="B363">
        <f>VLOOKUP(C363,'[2]Ensaio 1'!$A$2:$F$28,6,FALSE)</f>
        <v>4</v>
      </c>
      <c r="C363" s="36">
        <v>960000003599578</v>
      </c>
      <c r="D363" s="36">
        <v>960000003599578</v>
      </c>
      <c r="E363" s="1">
        <f t="shared" si="5"/>
        <v>44948</v>
      </c>
      <c r="F363" s="51">
        <v>44948.771493055603</v>
      </c>
      <c r="G363" s="51">
        <v>44948.773020833301</v>
      </c>
      <c r="H363" s="52">
        <v>1.5162037037040001E-3</v>
      </c>
      <c r="I363">
        <v>18.515832901000977</v>
      </c>
      <c r="J363">
        <v>8589.8793876095806</v>
      </c>
      <c r="K363">
        <v>276.50428563864199</v>
      </c>
    </row>
    <row r="364" spans="1:11" x14ac:dyDescent="0.25">
      <c r="A364" t="str">
        <f>VLOOKUP(C364,'[2]Ensaio 1'!$A$2:$E$28,5,FALSE)</f>
        <v>Control</v>
      </c>
      <c r="B364">
        <f>VLOOKUP(C364,'[2]Ensaio 1'!$A$2:$F$28,6,FALSE)</f>
        <v>4</v>
      </c>
      <c r="C364" s="36">
        <v>960000003688521</v>
      </c>
      <c r="D364" s="36">
        <v>960000003688521</v>
      </c>
      <c r="E364" s="1">
        <f t="shared" si="5"/>
        <v>44948</v>
      </c>
      <c r="F364" s="51">
        <v>44948.894803240699</v>
      </c>
      <c r="G364" s="51">
        <v>44948.897928240702</v>
      </c>
      <c r="H364" s="52">
        <v>1.655092592593E-3</v>
      </c>
      <c r="I364">
        <v>21.475276947021484</v>
      </c>
      <c r="J364">
        <v>9439.7077393700292</v>
      </c>
      <c r="K364">
        <v>153.59797108710299</v>
      </c>
    </row>
    <row r="365" spans="1:11" x14ac:dyDescent="0.25">
      <c r="A365" t="str">
        <f>VLOOKUP(C365,'[2]Ensaio 1'!$A$2:$E$28,5,FALSE)</f>
        <v>Control</v>
      </c>
      <c r="B365">
        <f>VLOOKUP(C365,'[2]Ensaio 1'!$A$2:$F$28,6,FALSE)</f>
        <v>4</v>
      </c>
      <c r="C365" s="36">
        <v>960000003516091</v>
      </c>
      <c r="D365" s="36">
        <v>960000003516091</v>
      </c>
      <c r="E365" s="1">
        <f t="shared" si="5"/>
        <v>44948</v>
      </c>
      <c r="F365" s="51">
        <v>44948.978877314803</v>
      </c>
      <c r="G365" s="51">
        <v>44948.983240740701</v>
      </c>
      <c r="H365" s="52">
        <v>3.3680555555560001E-3</v>
      </c>
      <c r="I365">
        <v>23.49305534362793</v>
      </c>
      <c r="J365">
        <v>6837.5053867737097</v>
      </c>
      <c r="K365">
        <v>61.233823729804598</v>
      </c>
    </row>
    <row r="366" spans="1:11" x14ac:dyDescent="0.25">
      <c r="A366" t="str">
        <f>VLOOKUP(C366,'[2]Ensaio 1'!$A$2:$E$28,5,FALSE)</f>
        <v>Control</v>
      </c>
      <c r="B366">
        <f>VLOOKUP(C366,'[2]Ensaio 1'!$A$2:$F$28,6,FALSE)</f>
        <v>4</v>
      </c>
      <c r="C366" s="36">
        <v>960000003599578</v>
      </c>
      <c r="D366" s="36">
        <v>960000003599578</v>
      </c>
      <c r="E366" s="1">
        <f t="shared" si="5"/>
        <v>44948</v>
      </c>
      <c r="F366" s="51">
        <v>44948.998298611099</v>
      </c>
      <c r="G366" s="51">
        <v>44949.004884259302</v>
      </c>
      <c r="H366" s="52">
        <v>5.1157407407410004E-3</v>
      </c>
      <c r="I366">
        <v>23.95916748046875</v>
      </c>
      <c r="J366">
        <v>8526.8327038388506</v>
      </c>
      <c r="K366">
        <v>197.044522100612</v>
      </c>
    </row>
    <row r="367" spans="1:11" x14ac:dyDescent="0.25">
      <c r="A367" t="str">
        <f>VLOOKUP(C367,'[2]Ensaio 1'!$A$2:$E$28,5,FALSE)</f>
        <v>Control</v>
      </c>
      <c r="B367">
        <f>VLOOKUP(C367,'[2]Ensaio 1'!$A$2:$F$28,6,FALSE)</f>
        <v>4</v>
      </c>
      <c r="C367" s="36">
        <v>960000003688521</v>
      </c>
      <c r="D367" s="36">
        <v>960000003688521</v>
      </c>
      <c r="E367" s="1">
        <f t="shared" si="5"/>
        <v>44949</v>
      </c>
      <c r="F367" s="51">
        <v>44949.008784722202</v>
      </c>
      <c r="G367" s="51">
        <v>44949.012962963003</v>
      </c>
      <c r="H367" s="52">
        <v>3.1134259259259999E-3</v>
      </c>
      <c r="I367">
        <v>0.21083332598209401</v>
      </c>
      <c r="J367">
        <v>8373.3822765578007</v>
      </c>
      <c r="K367">
        <v>115.37347612373399</v>
      </c>
    </row>
    <row r="368" spans="1:11" x14ac:dyDescent="0.25">
      <c r="A368" t="str">
        <f>VLOOKUP(C368,'[2]Ensaio 1'!$A$2:$E$28,5,FALSE)</f>
        <v>Control</v>
      </c>
      <c r="B368">
        <f>VLOOKUP(C368,'[2]Ensaio 1'!$A$2:$F$28,6,FALSE)</f>
        <v>4</v>
      </c>
      <c r="C368" s="36">
        <v>960000003516091</v>
      </c>
      <c r="D368" s="36">
        <v>960000003516091</v>
      </c>
      <c r="E368" s="1">
        <f t="shared" si="5"/>
        <v>44949</v>
      </c>
      <c r="F368" s="51">
        <v>44949.174224536997</v>
      </c>
      <c r="G368" s="51">
        <v>44949.178796296299</v>
      </c>
      <c r="H368" s="52">
        <v>2.5000000000000001E-3</v>
      </c>
      <c r="I368">
        <v>4.1813888549804688</v>
      </c>
      <c r="J368">
        <v>6663.7289111166501</v>
      </c>
      <c r="K368">
        <v>37.8529908610886</v>
      </c>
    </row>
    <row r="369" spans="1:11" x14ac:dyDescent="0.25">
      <c r="A369" t="str">
        <f>VLOOKUP(C369,'[2]Ensaio 1'!$A$2:$E$28,5,FALSE)</f>
        <v>Control</v>
      </c>
      <c r="B369">
        <f>VLOOKUP(C369,'[2]Ensaio 1'!$A$2:$F$28,6,FALSE)</f>
        <v>4</v>
      </c>
      <c r="C369" s="36">
        <v>960000003688521</v>
      </c>
      <c r="D369" s="36">
        <v>960000003688521</v>
      </c>
      <c r="E369" s="1">
        <f t="shared" si="5"/>
        <v>44949</v>
      </c>
      <c r="F369" s="51">
        <v>44949.254282407397</v>
      </c>
      <c r="G369" s="51">
        <v>44949.257743055598</v>
      </c>
      <c r="H369" s="52">
        <v>2.6851851851849998E-3</v>
      </c>
      <c r="I369">
        <v>6.1027779579162598</v>
      </c>
      <c r="J369">
        <v>8016.5269560788802</v>
      </c>
      <c r="K369">
        <v>52.159828613011697</v>
      </c>
    </row>
    <row r="370" spans="1:11" x14ac:dyDescent="0.25">
      <c r="A370" t="str">
        <f>VLOOKUP(C370,'[2]Ensaio 1'!$A$2:$E$28,5,FALSE)</f>
        <v>Control</v>
      </c>
      <c r="B370">
        <f>VLOOKUP(C370,'[2]Ensaio 1'!$A$2:$F$28,6,FALSE)</f>
        <v>4</v>
      </c>
      <c r="C370" s="36">
        <v>960000003599578</v>
      </c>
      <c r="D370" s="36">
        <v>960000003599578</v>
      </c>
      <c r="E370" s="1">
        <f t="shared" si="5"/>
        <v>44949</v>
      </c>
      <c r="F370" s="51">
        <v>44949.313912037003</v>
      </c>
      <c r="G370" s="51">
        <v>44949.317349536999</v>
      </c>
      <c r="H370" s="52">
        <v>2.939814814815E-3</v>
      </c>
      <c r="I370">
        <v>7.5338888168334961</v>
      </c>
      <c r="J370">
        <v>7327.9651919415601</v>
      </c>
      <c r="K370">
        <v>103.119818358617</v>
      </c>
    </row>
    <row r="371" spans="1:11" x14ac:dyDescent="0.25">
      <c r="A371" t="str">
        <f>VLOOKUP(C371,'[2]Ensaio 1'!$A$2:$E$28,5,FALSE)</f>
        <v>Control</v>
      </c>
      <c r="B371">
        <f>VLOOKUP(C371,'[2]Ensaio 1'!$A$2:$F$28,6,FALSE)</f>
        <v>4</v>
      </c>
      <c r="C371" s="36">
        <v>960000003687554</v>
      </c>
      <c r="D371" s="36">
        <v>960000003687554</v>
      </c>
      <c r="E371" s="1">
        <f t="shared" si="5"/>
        <v>44949</v>
      </c>
      <c r="F371" s="51">
        <v>44949.324432870402</v>
      </c>
      <c r="G371" s="51">
        <v>44949.329282407401</v>
      </c>
      <c r="H371" s="52">
        <v>3.472222222222E-3</v>
      </c>
      <c r="I371">
        <v>7.7863888740539551</v>
      </c>
      <c r="J371">
        <v>9392.6761443241903</v>
      </c>
      <c r="K371">
        <v>136.19065184979499</v>
      </c>
    </row>
    <row r="372" spans="1:11" x14ac:dyDescent="0.25">
      <c r="A372" t="s">
        <v>0</v>
      </c>
      <c r="B372">
        <f>VLOOKUP(C372,'[2]Ensaio 1'!$A$2:$F$28,6,FALSE)</f>
        <v>5</v>
      </c>
      <c r="C372" s="36">
        <v>960000003784731</v>
      </c>
      <c r="D372" s="36">
        <v>960000003552605</v>
      </c>
      <c r="E372" s="1">
        <f t="shared" si="5"/>
        <v>44949</v>
      </c>
      <c r="F372" s="51">
        <v>44949.488101851799</v>
      </c>
      <c r="G372" s="51">
        <v>44949.4922337963</v>
      </c>
      <c r="H372" s="52">
        <v>3.472222222222E-3</v>
      </c>
      <c r="I372">
        <v>11.714444160461426</v>
      </c>
      <c r="J372">
        <v>7545.8154282821997</v>
      </c>
      <c r="K372">
        <v>161.478972797323</v>
      </c>
    </row>
    <row r="373" spans="1:11" x14ac:dyDescent="0.25">
      <c r="A373" t="s">
        <v>0</v>
      </c>
      <c r="B373">
        <f>VLOOKUP(C373,'[2]Ensaio 1'!$A$2:$F$28,6,FALSE)</f>
        <v>5</v>
      </c>
      <c r="C373" s="36">
        <v>960000003784731</v>
      </c>
      <c r="D373" s="36">
        <v>960000003552605</v>
      </c>
      <c r="E373" s="1">
        <f t="shared" si="5"/>
        <v>44949</v>
      </c>
      <c r="F373" s="51">
        <v>44949.708437499998</v>
      </c>
      <c r="G373" s="51">
        <v>44949.712962963</v>
      </c>
      <c r="H373" s="52">
        <v>3.9236111111110002E-3</v>
      </c>
      <c r="I373">
        <v>17.002500534057617</v>
      </c>
      <c r="J373">
        <v>7912.0393813943401</v>
      </c>
      <c r="K373">
        <v>164.42037324219999</v>
      </c>
    </row>
    <row r="374" spans="1:11" x14ac:dyDescent="0.25">
      <c r="A374" t="s">
        <v>0</v>
      </c>
      <c r="B374">
        <f>VLOOKUP(C374,'[2]Ensaio 1'!$A$2:$F$28,6,FALSE)</f>
        <v>5</v>
      </c>
      <c r="C374" s="36">
        <v>960000003784731</v>
      </c>
      <c r="D374" s="36">
        <v>960000003552605</v>
      </c>
      <c r="E374" s="1">
        <f t="shared" si="5"/>
        <v>44949</v>
      </c>
      <c r="F374" s="51">
        <v>44949.939560185201</v>
      </c>
      <c r="G374" s="51">
        <v>44949.953182870398</v>
      </c>
      <c r="H374" s="52">
        <v>5.2314814814809997E-3</v>
      </c>
      <c r="I374">
        <v>22.549444198608398</v>
      </c>
      <c r="J374">
        <v>7821.8564540753296</v>
      </c>
      <c r="K374">
        <v>199.32283261638901</v>
      </c>
    </row>
    <row r="375" spans="1:11" x14ac:dyDescent="0.25">
      <c r="A375" t="s">
        <v>0</v>
      </c>
      <c r="B375">
        <f>VLOOKUP(C375,'[2]Ensaio 1'!$A$2:$F$28,6,FALSE)</f>
        <v>5</v>
      </c>
      <c r="C375" s="36">
        <v>960000003784699</v>
      </c>
      <c r="D375" s="36">
        <v>900248002329588</v>
      </c>
      <c r="E375" s="1">
        <f t="shared" si="5"/>
        <v>44949</v>
      </c>
      <c r="F375" s="51">
        <v>44949.956354166701</v>
      </c>
      <c r="G375" s="51">
        <v>44949.9582407407</v>
      </c>
      <c r="H375" s="52">
        <v>1.435185185185E-3</v>
      </c>
      <c r="I375">
        <v>22.952499389648438</v>
      </c>
      <c r="J375">
        <v>9274.7252772205302</v>
      </c>
      <c r="K375">
        <v>172.510091871784</v>
      </c>
    </row>
    <row r="376" spans="1:11" x14ac:dyDescent="0.25">
      <c r="A376" t="s">
        <v>0</v>
      </c>
      <c r="B376">
        <f>VLOOKUP(C376,'[2]Ensaio 1'!$A$2:$F$28,6,FALSE)</f>
        <v>5</v>
      </c>
      <c r="C376" s="36">
        <v>960000003784731</v>
      </c>
      <c r="D376" s="36">
        <v>960000003552605</v>
      </c>
      <c r="E376" s="1">
        <f t="shared" si="5"/>
        <v>44949</v>
      </c>
      <c r="F376" s="51">
        <v>44949.958807870396</v>
      </c>
      <c r="G376" s="51">
        <v>44949.962384259299</v>
      </c>
      <c r="H376" s="52">
        <v>2.2222222222220002E-3</v>
      </c>
      <c r="I376">
        <v>23.011388778686523</v>
      </c>
      <c r="J376">
        <v>8805.9271798762293</v>
      </c>
      <c r="K376">
        <v>247.60459046062999</v>
      </c>
    </row>
    <row r="377" spans="1:11" x14ac:dyDescent="0.25">
      <c r="A377" t="s">
        <v>0</v>
      </c>
      <c r="B377">
        <f>VLOOKUP(C377,'[2]Ensaio 1'!$A$2:$F$28,6,FALSE)</f>
        <v>5</v>
      </c>
      <c r="C377" s="36">
        <v>960000003784699</v>
      </c>
      <c r="D377" s="36">
        <v>900248002329588</v>
      </c>
      <c r="E377" s="1">
        <f t="shared" si="5"/>
        <v>44949</v>
      </c>
      <c r="F377" s="51">
        <v>44949.993576388901</v>
      </c>
      <c r="G377" s="51">
        <v>44949.9992361111</v>
      </c>
      <c r="H377" s="52">
        <v>4.5833333333330003E-3</v>
      </c>
      <c r="I377">
        <v>23.845832824707031</v>
      </c>
      <c r="J377">
        <v>7630.7719073233502</v>
      </c>
      <c r="K377">
        <v>150.09886665457699</v>
      </c>
    </row>
    <row r="378" spans="1:11" x14ac:dyDescent="0.25">
      <c r="A378" t="s">
        <v>0</v>
      </c>
      <c r="B378">
        <f>VLOOKUP(C378,'[2]Ensaio 1'!$A$2:$F$28,6,FALSE)</f>
        <v>5</v>
      </c>
      <c r="C378" s="36">
        <v>960000003784731</v>
      </c>
      <c r="D378" s="36">
        <v>960000003552605</v>
      </c>
      <c r="E378" s="1">
        <f t="shared" si="5"/>
        <v>44950</v>
      </c>
      <c r="F378" s="51">
        <v>44950.107164351903</v>
      </c>
      <c r="G378" s="51">
        <v>44950.111643518503</v>
      </c>
      <c r="H378" s="52">
        <v>4.00462962963E-3</v>
      </c>
      <c r="I378">
        <v>2.5719444751739502</v>
      </c>
      <c r="J378">
        <v>8223.0875887177208</v>
      </c>
      <c r="K378">
        <v>155.91459279708801</v>
      </c>
    </row>
    <row r="379" spans="1:11" x14ac:dyDescent="0.25">
      <c r="A379" t="s">
        <v>0</v>
      </c>
      <c r="B379">
        <f>VLOOKUP(C379,'[2]Ensaio 1'!$A$2:$F$28,6,FALSE)</f>
        <v>5</v>
      </c>
      <c r="C379" s="36">
        <v>960000003784731</v>
      </c>
      <c r="D379" s="36">
        <v>960000003552605</v>
      </c>
      <c r="E379" s="1">
        <f t="shared" si="5"/>
        <v>44950</v>
      </c>
      <c r="F379" s="51">
        <v>44950.115752314799</v>
      </c>
      <c r="G379" s="51">
        <v>44950.119444444397</v>
      </c>
      <c r="H379" s="52">
        <v>1.770833333333E-3</v>
      </c>
      <c r="I379">
        <v>2.7780556678771968</v>
      </c>
      <c r="J379">
        <v>7610.1238184870399</v>
      </c>
      <c r="K379">
        <v>139.56420987580299</v>
      </c>
    </row>
    <row r="380" spans="1:11" x14ac:dyDescent="0.25">
      <c r="A380" t="s">
        <v>0</v>
      </c>
      <c r="B380">
        <f>VLOOKUP(C380,'[2]Ensaio 1'!$A$2:$F$28,6,FALSE)</f>
        <v>5</v>
      </c>
      <c r="C380" s="36">
        <v>960000003784731</v>
      </c>
      <c r="D380" s="36">
        <v>960000003552605</v>
      </c>
      <c r="E380" s="1">
        <f t="shared" si="5"/>
        <v>44950</v>
      </c>
      <c r="F380" s="51">
        <v>44950.253379629597</v>
      </c>
      <c r="G380" s="51">
        <v>44950.258333333302</v>
      </c>
      <c r="H380" s="52">
        <v>1.6087962962959999E-3</v>
      </c>
      <c r="I380">
        <v>6.081110954284668</v>
      </c>
      <c r="J380">
        <v>7230.4972194967104</v>
      </c>
      <c r="K380">
        <v>149.936796932249</v>
      </c>
    </row>
    <row r="381" spans="1:11" x14ac:dyDescent="0.25">
      <c r="A381" t="s">
        <v>0</v>
      </c>
      <c r="B381">
        <f>VLOOKUP(C381,'[2]Ensaio 1'!$A$2:$F$28,6,FALSE)</f>
        <v>5</v>
      </c>
      <c r="C381" s="36">
        <v>960000003784731</v>
      </c>
      <c r="D381" s="36">
        <v>960000003552605</v>
      </c>
      <c r="E381" s="1">
        <f t="shared" si="5"/>
        <v>44950</v>
      </c>
      <c r="F381" s="51">
        <v>44950.327523148102</v>
      </c>
      <c r="G381" s="51">
        <v>44950.332164351901</v>
      </c>
      <c r="H381" s="52">
        <v>3.9236111111110002E-3</v>
      </c>
      <c r="I381">
        <v>7.8605556488037109</v>
      </c>
      <c r="J381">
        <v>7025.6788811450797</v>
      </c>
      <c r="K381">
        <v>164.55793585152401</v>
      </c>
    </row>
    <row r="382" spans="1:11" x14ac:dyDescent="0.25">
      <c r="A382" t="s">
        <v>0</v>
      </c>
      <c r="B382">
        <f>VLOOKUP(C382,'[2]Ensaio 1'!$A$2:$F$28,6,FALSE)</f>
        <v>5</v>
      </c>
      <c r="C382" s="36">
        <v>960000003784731</v>
      </c>
      <c r="D382" s="36">
        <v>960000003552605</v>
      </c>
      <c r="E382" s="1">
        <f t="shared" si="5"/>
        <v>44950</v>
      </c>
      <c r="F382" s="51">
        <v>44950.335104166697</v>
      </c>
      <c r="G382" s="51">
        <v>44950.337581018503</v>
      </c>
      <c r="H382" s="52">
        <v>1.8171296296300001E-3</v>
      </c>
      <c r="I382">
        <v>8.0424995422363281</v>
      </c>
      <c r="J382">
        <v>7437.6063443702997</v>
      </c>
      <c r="K382">
        <v>180.89511082899401</v>
      </c>
    </row>
    <row r="383" spans="1:11" x14ac:dyDescent="0.25">
      <c r="A383" t="s">
        <v>0</v>
      </c>
      <c r="B383">
        <f>VLOOKUP(C383,'[2]Ensaio 1'!$A$2:$F$28,6,FALSE)</f>
        <v>5</v>
      </c>
      <c r="C383" s="36">
        <v>960000003784731</v>
      </c>
      <c r="D383" s="36">
        <v>960000003552605</v>
      </c>
      <c r="E383" s="1">
        <f t="shared" si="5"/>
        <v>44950</v>
      </c>
      <c r="F383" s="51">
        <v>44950.578506944403</v>
      </c>
      <c r="G383" s="51">
        <v>44950.5936111111</v>
      </c>
      <c r="H383" s="52">
        <v>3.738425925926E-3</v>
      </c>
      <c r="I383">
        <v>13.884166717529297</v>
      </c>
      <c r="J383">
        <v>7403.0022689140496</v>
      </c>
      <c r="K383">
        <v>138.17410699489301</v>
      </c>
    </row>
    <row r="384" spans="1:11" x14ac:dyDescent="0.25">
      <c r="A384" t="s">
        <v>0</v>
      </c>
      <c r="B384">
        <f>VLOOKUP(C384,'[2]Ensaio 1'!$A$2:$F$28,6,FALSE)</f>
        <v>5</v>
      </c>
      <c r="C384" s="36">
        <v>960000003784731</v>
      </c>
      <c r="D384" s="36">
        <v>960000003552605</v>
      </c>
      <c r="E384" s="1">
        <f t="shared" si="5"/>
        <v>44950</v>
      </c>
      <c r="F384" s="51">
        <v>44950.601215277798</v>
      </c>
      <c r="G384" s="51">
        <v>44950.603067129603</v>
      </c>
      <c r="H384" s="52">
        <v>1.4120370370370001E-3</v>
      </c>
      <c r="I384">
        <v>14.429166793823242</v>
      </c>
      <c r="J384">
        <v>6928.1180311447097</v>
      </c>
      <c r="K384">
        <v>193.71664700651101</v>
      </c>
    </row>
    <row r="385" spans="1:11" x14ac:dyDescent="0.25">
      <c r="A385" t="s">
        <v>0</v>
      </c>
      <c r="B385">
        <f>VLOOKUP(C385,'[2]Ensaio 1'!$A$2:$F$28,6,FALSE)</f>
        <v>5</v>
      </c>
      <c r="C385" s="36">
        <v>960000003784731</v>
      </c>
      <c r="D385" s="36">
        <v>960000003552605</v>
      </c>
      <c r="E385" s="1">
        <f t="shared" si="5"/>
        <v>44950</v>
      </c>
      <c r="F385" s="51">
        <v>44950.611678240697</v>
      </c>
      <c r="G385" s="51">
        <v>44950.623969907399</v>
      </c>
      <c r="H385" s="52">
        <v>1.550925925926E-3</v>
      </c>
      <c r="I385">
        <v>14.680277824401855</v>
      </c>
      <c r="J385">
        <v>6317.6678018023404</v>
      </c>
      <c r="K385">
        <v>107.967276272156</v>
      </c>
    </row>
    <row r="386" spans="1:11" x14ac:dyDescent="0.25">
      <c r="A386" t="s">
        <v>0</v>
      </c>
      <c r="B386">
        <f>VLOOKUP(C386,'[2]Ensaio 1'!$A$2:$F$28,6,FALSE)</f>
        <v>5</v>
      </c>
      <c r="C386" s="36">
        <v>960000003784699</v>
      </c>
      <c r="D386" s="36">
        <v>900248002329588</v>
      </c>
      <c r="E386" s="1">
        <f t="shared" ref="E386:E449" si="6">ROUNDDOWN(LEFT(F386,10),0)</f>
        <v>44950</v>
      </c>
      <c r="F386" s="51">
        <v>44950.643645833297</v>
      </c>
      <c r="G386" s="51">
        <v>44950.651087963</v>
      </c>
      <c r="H386" s="52">
        <v>1.6666666666670001E-3</v>
      </c>
      <c r="I386">
        <v>15.447500228881836</v>
      </c>
      <c r="J386">
        <v>6721.3234309693698</v>
      </c>
      <c r="K386">
        <v>118.08574430151999</v>
      </c>
    </row>
    <row r="387" spans="1:11" x14ac:dyDescent="0.25">
      <c r="A387" t="s">
        <v>0</v>
      </c>
      <c r="B387">
        <f>VLOOKUP(C387,'[2]Ensaio 1'!$A$2:$F$28,6,FALSE)</f>
        <v>5</v>
      </c>
      <c r="C387" s="36">
        <v>960000003784731</v>
      </c>
      <c r="D387" s="36">
        <v>960000003552605</v>
      </c>
      <c r="E387" s="1">
        <f t="shared" si="6"/>
        <v>44950</v>
      </c>
      <c r="F387" s="51">
        <v>44950.878715277802</v>
      </c>
      <c r="G387" s="51">
        <v>44950.882650462998</v>
      </c>
      <c r="H387" s="52">
        <v>3.4837962962959998E-3</v>
      </c>
      <c r="I387">
        <v>21.089166641235352</v>
      </c>
      <c r="J387">
        <v>8965.28150893782</v>
      </c>
      <c r="K387">
        <v>222.82821221572101</v>
      </c>
    </row>
    <row r="388" spans="1:11" x14ac:dyDescent="0.25">
      <c r="A388" t="s">
        <v>0</v>
      </c>
      <c r="B388">
        <f>VLOOKUP(C388,'[2]Ensaio 1'!$A$2:$F$28,6,FALSE)</f>
        <v>5</v>
      </c>
      <c r="C388" s="36">
        <v>960000003784731</v>
      </c>
      <c r="D388" s="36">
        <v>960000003552605</v>
      </c>
      <c r="E388" s="1">
        <f t="shared" si="6"/>
        <v>44951</v>
      </c>
      <c r="F388" s="51">
        <v>44951.073958333298</v>
      </c>
      <c r="G388" s="51">
        <v>44951.0789814815</v>
      </c>
      <c r="H388" s="52">
        <v>3.3101851851849999E-3</v>
      </c>
      <c r="I388">
        <v>1.7749999761581421</v>
      </c>
      <c r="J388">
        <v>8639.4793939265801</v>
      </c>
      <c r="K388">
        <v>153.47539077157199</v>
      </c>
    </row>
    <row r="389" spans="1:11" x14ac:dyDescent="0.25">
      <c r="A389" t="s">
        <v>0</v>
      </c>
      <c r="B389">
        <f>VLOOKUP(C389,'[2]Ensaio 1'!$A$2:$F$28,6,FALSE)</f>
        <v>5</v>
      </c>
      <c r="C389" s="36">
        <v>960000003784699</v>
      </c>
      <c r="D389" s="36">
        <v>900248002329588</v>
      </c>
      <c r="E389" s="1">
        <f t="shared" si="6"/>
        <v>44951</v>
      </c>
      <c r="F389" s="51">
        <v>44951.096793981502</v>
      </c>
      <c r="G389" s="51">
        <v>44951.100405092599</v>
      </c>
      <c r="H389" s="52">
        <v>3.5648148148150001E-3</v>
      </c>
      <c r="I389">
        <v>2.323055505752563</v>
      </c>
      <c r="J389">
        <v>7717.45557430588</v>
      </c>
      <c r="K389">
        <v>146.826672024423</v>
      </c>
    </row>
    <row r="390" spans="1:11" x14ac:dyDescent="0.25">
      <c r="A390" t="s">
        <v>0</v>
      </c>
      <c r="B390">
        <f>VLOOKUP(C390,'[2]Ensaio 1'!$A$2:$F$28,6,FALSE)</f>
        <v>5</v>
      </c>
      <c r="C390" s="36">
        <v>960000003784731</v>
      </c>
      <c r="D390" s="36">
        <v>960000003552605</v>
      </c>
      <c r="E390" s="1">
        <f t="shared" si="6"/>
        <v>44951</v>
      </c>
      <c r="F390" s="51">
        <v>44951.312118055597</v>
      </c>
      <c r="G390" s="51">
        <v>44951.318206018499</v>
      </c>
      <c r="H390" s="52">
        <v>3.8194444444439998E-3</v>
      </c>
      <c r="I390">
        <v>7.4908332824707031</v>
      </c>
      <c r="J390">
        <v>7825.6555586043096</v>
      </c>
      <c r="K390">
        <v>176.20809569166599</v>
      </c>
    </row>
    <row r="391" spans="1:11" x14ac:dyDescent="0.25">
      <c r="A391" t="s">
        <v>0</v>
      </c>
      <c r="B391">
        <f>VLOOKUP(C391,'[2]Ensaio 1'!$A$2:$F$28,6,FALSE)</f>
        <v>5</v>
      </c>
      <c r="C391" s="36">
        <v>960000003784731</v>
      </c>
      <c r="D391" s="36">
        <v>960000003552605</v>
      </c>
      <c r="E391" s="1">
        <f t="shared" si="6"/>
        <v>44951</v>
      </c>
      <c r="F391" s="51">
        <v>44951.5679282407</v>
      </c>
      <c r="G391" s="51">
        <v>44951.572129629603</v>
      </c>
      <c r="H391" s="52">
        <v>3.7152777777779999E-3</v>
      </c>
      <c r="I391">
        <v>13.630277633666992</v>
      </c>
      <c r="J391">
        <v>7624.5986499884102</v>
      </c>
      <c r="K391">
        <v>161.89591063314001</v>
      </c>
    </row>
    <row r="392" spans="1:11" x14ac:dyDescent="0.25">
      <c r="A392" t="s">
        <v>0</v>
      </c>
      <c r="B392">
        <f>VLOOKUP(C392,'[2]Ensaio 1'!$A$2:$F$28,6,FALSE)</f>
        <v>5</v>
      </c>
      <c r="C392" s="36">
        <v>960000003784699</v>
      </c>
      <c r="D392" s="36">
        <v>900248002329588</v>
      </c>
      <c r="E392" s="1">
        <f t="shared" si="6"/>
        <v>44951</v>
      </c>
      <c r="F392" s="51">
        <v>44951.606620370403</v>
      </c>
      <c r="G392" s="51">
        <v>44951.610300925902</v>
      </c>
      <c r="H392" s="52">
        <v>3.3217592592590002E-3</v>
      </c>
      <c r="I392">
        <v>14.55888843536377</v>
      </c>
      <c r="J392">
        <v>7188.8519833341497</v>
      </c>
      <c r="K392">
        <v>141.574560713474</v>
      </c>
    </row>
    <row r="393" spans="1:11" x14ac:dyDescent="0.25">
      <c r="A393" t="s">
        <v>0</v>
      </c>
      <c r="B393">
        <f>VLOOKUP(C393,'[2]Ensaio 1'!$A$2:$F$28,6,FALSE)</f>
        <v>5</v>
      </c>
      <c r="C393" s="36">
        <v>960000003784731</v>
      </c>
      <c r="D393" s="36">
        <v>960000003552605</v>
      </c>
      <c r="E393" s="1">
        <f t="shared" si="6"/>
        <v>44951</v>
      </c>
      <c r="F393" s="51">
        <v>44951.7820601852</v>
      </c>
      <c r="G393" s="51">
        <v>44951.785601851901</v>
      </c>
      <c r="H393" s="52">
        <v>3.1944444444440001E-3</v>
      </c>
      <c r="I393">
        <v>18.769443511962891</v>
      </c>
      <c r="J393">
        <v>8468.03795778514</v>
      </c>
      <c r="K393">
        <v>193.11882252401301</v>
      </c>
    </row>
    <row r="394" spans="1:11" x14ac:dyDescent="0.25">
      <c r="A394" t="s">
        <v>0</v>
      </c>
      <c r="B394">
        <f>VLOOKUP(C394,'[2]Ensaio 1'!$A$2:$F$28,6,FALSE)</f>
        <v>5</v>
      </c>
      <c r="C394" s="36">
        <v>960000003688554</v>
      </c>
      <c r="D394" s="36">
        <v>960000003688554</v>
      </c>
      <c r="E394" s="1">
        <f t="shared" si="6"/>
        <v>44951</v>
      </c>
      <c r="F394" s="51">
        <v>44951.974745370397</v>
      </c>
      <c r="G394" s="51">
        <v>44951.9774189815</v>
      </c>
      <c r="H394" s="52">
        <v>2.6273148148150001E-3</v>
      </c>
      <c r="I394">
        <v>23.393888473510742</v>
      </c>
      <c r="J394">
        <v>10235.8421588579</v>
      </c>
      <c r="K394">
        <v>209.994860662842</v>
      </c>
    </row>
    <row r="395" spans="1:11" x14ac:dyDescent="0.25">
      <c r="A395" t="s">
        <v>0</v>
      </c>
      <c r="B395">
        <f>VLOOKUP(C395,'[2]Ensaio 1'!$A$2:$F$28,6,FALSE)</f>
        <v>5</v>
      </c>
      <c r="C395" s="36">
        <v>960000003784731</v>
      </c>
      <c r="D395" s="36">
        <v>960000003552605</v>
      </c>
      <c r="E395" s="1">
        <f t="shared" si="6"/>
        <v>44952</v>
      </c>
      <c r="F395" s="51">
        <v>44952.006493055596</v>
      </c>
      <c r="G395" s="51">
        <v>44952.009490740696</v>
      </c>
      <c r="H395" s="52">
        <v>2.604166666667E-3</v>
      </c>
      <c r="I395">
        <v>0.15583333373069799</v>
      </c>
      <c r="J395">
        <v>8247.5118347453699</v>
      </c>
      <c r="K395">
        <v>211.804633536566</v>
      </c>
    </row>
    <row r="396" spans="1:11" x14ac:dyDescent="0.25">
      <c r="A396" t="s">
        <v>0</v>
      </c>
      <c r="B396">
        <f>VLOOKUP(C396,'[2]Ensaio 1'!$A$2:$F$28,6,FALSE)</f>
        <v>5</v>
      </c>
      <c r="C396" s="36">
        <v>960000003688554</v>
      </c>
      <c r="D396" s="36">
        <v>960000003688554</v>
      </c>
      <c r="E396" s="1">
        <f t="shared" si="6"/>
        <v>44952</v>
      </c>
      <c r="F396" s="51">
        <v>44952.0238888889</v>
      </c>
      <c r="G396" s="51">
        <v>44952.0312962963</v>
      </c>
      <c r="H396" s="52">
        <v>2.5000000000000001E-3</v>
      </c>
      <c r="I396">
        <v>0.57333332300186202</v>
      </c>
      <c r="J396">
        <v>8582.7910830389501</v>
      </c>
      <c r="K396">
        <v>162.03396360208899</v>
      </c>
    </row>
    <row r="397" spans="1:11" x14ac:dyDescent="0.25">
      <c r="A397" t="s">
        <v>0</v>
      </c>
      <c r="B397">
        <f>VLOOKUP(C397,'[2]Ensaio 1'!$A$2:$F$28,6,FALSE)</f>
        <v>5</v>
      </c>
      <c r="C397" s="36">
        <v>960000003784731</v>
      </c>
      <c r="D397" s="36">
        <v>960000003552605</v>
      </c>
      <c r="E397" s="1">
        <f t="shared" si="6"/>
        <v>44952</v>
      </c>
      <c r="F397" s="51">
        <v>44952.264687499999</v>
      </c>
      <c r="G397" s="51">
        <v>44952.269467592603</v>
      </c>
      <c r="H397" s="52">
        <v>2.604166666667E-3</v>
      </c>
      <c r="I397">
        <v>6.3524999618530273</v>
      </c>
      <c r="J397">
        <v>9136.5417459656601</v>
      </c>
      <c r="K397">
        <v>171.057399543917</v>
      </c>
    </row>
    <row r="398" spans="1:11" x14ac:dyDescent="0.25">
      <c r="A398" t="s">
        <v>0</v>
      </c>
      <c r="B398">
        <f>VLOOKUP(C398,'[2]Ensaio 1'!$A$2:$F$28,6,FALSE)</f>
        <v>5</v>
      </c>
      <c r="C398" s="36">
        <v>960000003784731</v>
      </c>
      <c r="D398" s="36">
        <v>960000003552605</v>
      </c>
      <c r="E398" s="1">
        <f t="shared" si="6"/>
        <v>44952</v>
      </c>
      <c r="F398" s="51">
        <v>44952.485925925903</v>
      </c>
      <c r="G398" s="51">
        <v>44952.488958333299</v>
      </c>
      <c r="H398" s="52">
        <v>2.835648148148E-3</v>
      </c>
      <c r="I398">
        <v>11.662221908569336</v>
      </c>
      <c r="J398">
        <v>8505.4930342370299</v>
      </c>
      <c r="K398">
        <v>219.70498868031601</v>
      </c>
    </row>
    <row r="399" spans="1:11" x14ac:dyDescent="0.25">
      <c r="A399" t="s">
        <v>0</v>
      </c>
      <c r="B399">
        <f>VLOOKUP(C399,'[2]Ensaio 1'!$A$2:$F$28,6,FALSE)</f>
        <v>5</v>
      </c>
      <c r="C399" s="36">
        <v>960000003784731</v>
      </c>
      <c r="D399" s="36">
        <v>960000003552605</v>
      </c>
      <c r="E399" s="1">
        <f t="shared" si="6"/>
        <v>44952</v>
      </c>
      <c r="F399" s="51">
        <v>44952.700844907398</v>
      </c>
      <c r="G399" s="51">
        <v>44952.704050925902</v>
      </c>
      <c r="H399" s="52">
        <v>2.7777777777779999E-3</v>
      </c>
      <c r="I399">
        <v>16.820278167724609</v>
      </c>
      <c r="J399">
        <v>8836.7195658901292</v>
      </c>
      <c r="K399">
        <v>204.661755896496</v>
      </c>
    </row>
    <row r="400" spans="1:11" x14ac:dyDescent="0.25">
      <c r="A400" t="s">
        <v>0</v>
      </c>
      <c r="B400">
        <f>VLOOKUP(C400,'[2]Ensaio 1'!$A$2:$F$28,6,FALSE)</f>
        <v>5</v>
      </c>
      <c r="C400" s="36">
        <v>960000003784731</v>
      </c>
      <c r="D400" s="36">
        <v>960000003552605</v>
      </c>
      <c r="E400" s="1">
        <f t="shared" si="6"/>
        <v>44952</v>
      </c>
      <c r="F400" s="51">
        <v>44952.913993055598</v>
      </c>
      <c r="G400" s="51">
        <v>44952.922164351898</v>
      </c>
      <c r="H400" s="52">
        <v>3.1134259259259999E-3</v>
      </c>
      <c r="I400">
        <v>21.935832977294922</v>
      </c>
      <c r="J400">
        <v>8269.7564800482196</v>
      </c>
      <c r="K400">
        <v>197.725390899639</v>
      </c>
    </row>
    <row r="401" spans="1:11" x14ac:dyDescent="0.25">
      <c r="A401" t="s">
        <v>0</v>
      </c>
      <c r="B401">
        <f>VLOOKUP(C401,'[2]Ensaio 1'!$A$2:$F$28,6,FALSE)</f>
        <v>5</v>
      </c>
      <c r="C401" s="36">
        <v>960000003784731</v>
      </c>
      <c r="D401" s="36">
        <v>960000003552605</v>
      </c>
      <c r="E401" s="1">
        <f t="shared" si="6"/>
        <v>44953</v>
      </c>
      <c r="F401" s="51">
        <v>44953.048206018502</v>
      </c>
      <c r="G401" s="51">
        <v>44953.051504629599</v>
      </c>
      <c r="H401" s="52">
        <v>3.2523148148149998E-3</v>
      </c>
      <c r="I401">
        <v>1.1569443941116331</v>
      </c>
      <c r="J401">
        <v>8979.1296792654703</v>
      </c>
      <c r="K401">
        <v>190.97105743981299</v>
      </c>
    </row>
    <row r="402" spans="1:11" x14ac:dyDescent="0.25">
      <c r="A402" t="s">
        <v>0</v>
      </c>
      <c r="B402">
        <f>VLOOKUP(C402,'[2]Ensaio 1'!$A$2:$F$28,6,FALSE)</f>
        <v>5</v>
      </c>
      <c r="C402" s="36">
        <v>960000003688554</v>
      </c>
      <c r="D402" s="36">
        <v>960000003688554</v>
      </c>
      <c r="E402" s="1">
        <f t="shared" si="6"/>
        <v>44953</v>
      </c>
      <c r="F402" s="51">
        <v>44953.0961342593</v>
      </c>
      <c r="G402" s="51">
        <v>44953.097962963002</v>
      </c>
      <c r="H402" s="52">
        <v>1.7129629629630001E-3</v>
      </c>
      <c r="I402">
        <v>2.3072221279144292</v>
      </c>
      <c r="J402">
        <v>9761.71389345446</v>
      </c>
      <c r="K402">
        <v>202.08153312932799</v>
      </c>
    </row>
    <row r="403" spans="1:11" x14ac:dyDescent="0.25">
      <c r="A403" t="s">
        <v>0</v>
      </c>
      <c r="B403">
        <f>VLOOKUP(C403,'[2]Ensaio 1'!$A$2:$F$28,6,FALSE)</f>
        <v>5</v>
      </c>
      <c r="C403" s="36">
        <v>960000003784731</v>
      </c>
      <c r="D403" s="36">
        <v>960000003552605</v>
      </c>
      <c r="E403" s="1">
        <f t="shared" si="6"/>
        <v>44953</v>
      </c>
      <c r="F403" s="51">
        <v>44953.322893518503</v>
      </c>
      <c r="G403" s="51">
        <v>44953.324791666702</v>
      </c>
      <c r="H403" s="52">
        <v>1.400462962963E-3</v>
      </c>
      <c r="I403">
        <v>7.7494444847106934</v>
      </c>
      <c r="J403">
        <v>7897.1794267361201</v>
      </c>
      <c r="K403">
        <v>108.45246650524599</v>
      </c>
    </row>
    <row r="404" spans="1:11" x14ac:dyDescent="0.25">
      <c r="A404" t="s">
        <v>0</v>
      </c>
      <c r="B404">
        <f>VLOOKUP(C404,'[2]Ensaio 1'!$A$2:$F$28,6,FALSE)</f>
        <v>5</v>
      </c>
      <c r="C404" s="36">
        <v>960000003784699</v>
      </c>
      <c r="D404" s="36">
        <v>900248002329588</v>
      </c>
      <c r="E404" s="1">
        <f t="shared" si="6"/>
        <v>44953</v>
      </c>
      <c r="F404" s="51">
        <v>44953.544675925899</v>
      </c>
      <c r="G404" s="51">
        <v>44953.5484490741</v>
      </c>
      <c r="H404" s="52">
        <v>2.6157407407409999E-3</v>
      </c>
      <c r="I404">
        <v>13.072221755981445</v>
      </c>
      <c r="J404">
        <v>6456.5059978728104</v>
      </c>
      <c r="K404">
        <v>125.230230589147</v>
      </c>
    </row>
    <row r="405" spans="1:11" x14ac:dyDescent="0.25">
      <c r="A405" t="s">
        <v>0</v>
      </c>
      <c r="B405">
        <f>VLOOKUP(C405,'[2]Ensaio 1'!$A$2:$F$28,6,FALSE)</f>
        <v>5</v>
      </c>
      <c r="C405" s="36">
        <v>960000003688554</v>
      </c>
      <c r="D405" s="36">
        <v>960000003688554</v>
      </c>
      <c r="E405" s="1">
        <f t="shared" si="6"/>
        <v>44953</v>
      </c>
      <c r="F405" s="51">
        <v>44953.653981481497</v>
      </c>
      <c r="G405" s="51">
        <v>44953.657754629603</v>
      </c>
      <c r="H405" s="52">
        <v>2.3263888888890001E-3</v>
      </c>
      <c r="I405">
        <v>15.695555686950684</v>
      </c>
      <c r="J405">
        <v>8909.4063071783203</v>
      </c>
      <c r="K405">
        <v>187.34971911365099</v>
      </c>
    </row>
    <row r="406" spans="1:11" x14ac:dyDescent="0.25">
      <c r="A406" t="s">
        <v>0</v>
      </c>
      <c r="B406">
        <f>VLOOKUP(C406,'[2]Ensaio 1'!$A$2:$F$28,6,FALSE)</f>
        <v>5</v>
      </c>
      <c r="C406" s="36">
        <v>960000003784699</v>
      </c>
      <c r="D406" s="36">
        <v>900248002329588</v>
      </c>
      <c r="E406" s="1">
        <f t="shared" si="6"/>
        <v>44953</v>
      </c>
      <c r="F406" s="51">
        <v>44953.802141203698</v>
      </c>
      <c r="G406" s="51">
        <v>44953.804432870398</v>
      </c>
      <c r="H406" s="52">
        <v>2.1180555555559998E-3</v>
      </c>
      <c r="I406">
        <v>19.251388549804688</v>
      </c>
      <c r="J406">
        <v>8006.4824796576104</v>
      </c>
      <c r="K406">
        <v>152.17059807370299</v>
      </c>
    </row>
    <row r="407" spans="1:11" x14ac:dyDescent="0.25">
      <c r="A407" t="s">
        <v>0</v>
      </c>
      <c r="B407">
        <f>VLOOKUP(C407,'[2]Ensaio 1'!$A$2:$F$28,6,FALSE)</f>
        <v>5</v>
      </c>
      <c r="C407" s="36">
        <v>960000003784731</v>
      </c>
      <c r="D407" s="36">
        <v>960000003552605</v>
      </c>
      <c r="E407" s="1">
        <f t="shared" si="6"/>
        <v>44953</v>
      </c>
      <c r="F407" s="51">
        <v>44953.887291666702</v>
      </c>
      <c r="G407" s="51">
        <v>44953.890543981499</v>
      </c>
      <c r="H407" s="52">
        <v>3.171296296296E-3</v>
      </c>
      <c r="I407">
        <v>21.295000076293945</v>
      </c>
      <c r="J407">
        <v>7933.3758413940204</v>
      </c>
      <c r="K407">
        <v>273.02006278042899</v>
      </c>
    </row>
    <row r="408" spans="1:11" x14ac:dyDescent="0.25">
      <c r="A408" t="s">
        <v>0</v>
      </c>
      <c r="B408">
        <f>VLOOKUP(C408,'[2]Ensaio 1'!$A$2:$F$28,6,FALSE)</f>
        <v>5</v>
      </c>
      <c r="C408" s="36">
        <v>960000003688554</v>
      </c>
      <c r="D408" s="36">
        <v>960000003688554</v>
      </c>
      <c r="E408" s="1">
        <f t="shared" si="6"/>
        <v>44953</v>
      </c>
      <c r="F408" s="51">
        <v>44953.941331018497</v>
      </c>
      <c r="G408" s="51">
        <v>44953.946192129602</v>
      </c>
      <c r="H408" s="52">
        <v>4.2476851851850003E-3</v>
      </c>
      <c r="I408">
        <v>22.591943740844727</v>
      </c>
      <c r="J408">
        <v>9421.2409815190294</v>
      </c>
      <c r="K408">
        <v>192.43178888536701</v>
      </c>
    </row>
    <row r="409" spans="1:11" x14ac:dyDescent="0.25">
      <c r="A409" t="s">
        <v>0</v>
      </c>
      <c r="B409">
        <f>VLOOKUP(C409,'[2]Ensaio 1'!$A$2:$F$28,6,FALSE)</f>
        <v>5</v>
      </c>
      <c r="C409" s="36">
        <v>960000003784731</v>
      </c>
      <c r="D409" s="36">
        <v>960000003552605</v>
      </c>
      <c r="E409" s="1">
        <f t="shared" si="6"/>
        <v>44954</v>
      </c>
      <c r="F409" s="51">
        <v>44954.040104166699</v>
      </c>
      <c r="G409" s="51">
        <v>44954.042800925898</v>
      </c>
      <c r="H409" s="52">
        <v>2.5115740740739999E-3</v>
      </c>
      <c r="I409">
        <v>0.96249997615814198</v>
      </c>
      <c r="J409">
        <v>8572.7808059241106</v>
      </c>
      <c r="K409">
        <v>178.21333449461699</v>
      </c>
    </row>
    <row r="410" spans="1:11" x14ac:dyDescent="0.25">
      <c r="A410" t="s">
        <v>0</v>
      </c>
      <c r="B410">
        <f>VLOOKUP(C410,'[2]Ensaio 1'!$A$2:$F$28,6,FALSE)</f>
        <v>5</v>
      </c>
      <c r="C410" s="36">
        <v>960000003784699</v>
      </c>
      <c r="D410" s="36">
        <v>900248002329588</v>
      </c>
      <c r="E410" s="1">
        <f t="shared" si="6"/>
        <v>44954</v>
      </c>
      <c r="F410" s="51">
        <v>44954.044652777797</v>
      </c>
      <c r="G410" s="51">
        <v>44954.052314814799</v>
      </c>
      <c r="H410" s="52">
        <v>3.9930555555560002E-3</v>
      </c>
      <c r="I410">
        <v>1.0716667175292971</v>
      </c>
      <c r="J410">
        <v>7930.5603191416203</v>
      </c>
      <c r="K410">
        <v>150.52392100446201</v>
      </c>
    </row>
    <row r="411" spans="1:11" x14ac:dyDescent="0.25">
      <c r="A411" t="s">
        <v>0</v>
      </c>
      <c r="B411">
        <f>VLOOKUP(C411,'[2]Ensaio 1'!$A$2:$F$28,6,FALSE)</f>
        <v>5</v>
      </c>
      <c r="C411" s="36">
        <v>960000003688554</v>
      </c>
      <c r="D411" s="36">
        <v>960000003688554</v>
      </c>
      <c r="E411" s="1">
        <f t="shared" si="6"/>
        <v>44954</v>
      </c>
      <c r="F411" s="51">
        <v>44954.060358796298</v>
      </c>
      <c r="G411" s="51">
        <v>44954.061770833301</v>
      </c>
      <c r="H411" s="52">
        <v>1.400462962963E-3</v>
      </c>
      <c r="I411">
        <v>1.4486111402511599</v>
      </c>
      <c r="J411">
        <v>9657.3462317362901</v>
      </c>
      <c r="K411">
        <v>179.54890198524899</v>
      </c>
    </row>
    <row r="412" spans="1:11" x14ac:dyDescent="0.25">
      <c r="A412" t="s">
        <v>0</v>
      </c>
      <c r="B412">
        <f>VLOOKUP(C412,'[2]Ensaio 1'!$A$2:$F$28,6,FALSE)</f>
        <v>5</v>
      </c>
      <c r="C412" s="36">
        <v>960000003688554</v>
      </c>
      <c r="D412" s="36">
        <v>960000003688554</v>
      </c>
      <c r="E412" s="1">
        <f t="shared" si="6"/>
        <v>44954</v>
      </c>
      <c r="F412" s="51">
        <v>44954.065057870401</v>
      </c>
      <c r="G412" s="51">
        <v>44954.066655092603</v>
      </c>
      <c r="H412" s="52">
        <v>1.5740740740739999E-3</v>
      </c>
      <c r="I412">
        <v>1.5613888502120969</v>
      </c>
      <c r="J412">
        <v>8268.0604836779894</v>
      </c>
      <c r="K412">
        <v>164.22800112661</v>
      </c>
    </row>
    <row r="413" spans="1:11" x14ac:dyDescent="0.25">
      <c r="A413" t="s">
        <v>0</v>
      </c>
      <c r="B413">
        <f>VLOOKUP(C413,'[2]Ensaio 1'!$A$2:$F$28,6,FALSE)</f>
        <v>5</v>
      </c>
      <c r="C413" s="36">
        <v>960000003784731</v>
      </c>
      <c r="D413" s="36">
        <v>960000003552605</v>
      </c>
      <c r="E413" s="1">
        <f t="shared" si="6"/>
        <v>44954</v>
      </c>
      <c r="F413" s="51">
        <v>44954.2635532407</v>
      </c>
      <c r="G413" s="51">
        <v>44954.2671990741</v>
      </c>
      <c r="H413" s="52">
        <v>3.4143518518519999E-3</v>
      </c>
      <c r="I413">
        <v>6.3252778053283691</v>
      </c>
      <c r="J413">
        <v>7416.9095639209499</v>
      </c>
      <c r="K413">
        <v>161.23556195046399</v>
      </c>
    </row>
    <row r="414" spans="1:11" x14ac:dyDescent="0.25">
      <c r="A414" t="s">
        <v>0</v>
      </c>
      <c r="B414">
        <f>VLOOKUP(C414,'[2]Ensaio 1'!$A$2:$F$28,6,FALSE)</f>
        <v>5</v>
      </c>
      <c r="C414" s="36">
        <v>960000003688554</v>
      </c>
      <c r="D414" s="36">
        <v>960000003688554</v>
      </c>
      <c r="E414" s="1">
        <f t="shared" si="6"/>
        <v>44954</v>
      </c>
      <c r="F414" s="51">
        <v>44954.284259259301</v>
      </c>
      <c r="G414" s="51">
        <v>44954.2883912037</v>
      </c>
      <c r="H414" s="52">
        <v>3.4375E-3</v>
      </c>
      <c r="I414">
        <v>6.8222222328186044</v>
      </c>
      <c r="J414">
        <v>9626.5126127813292</v>
      </c>
      <c r="K414">
        <v>216.07073310122101</v>
      </c>
    </row>
    <row r="415" spans="1:11" x14ac:dyDescent="0.25">
      <c r="A415" t="s">
        <v>0</v>
      </c>
      <c r="B415">
        <f>VLOOKUP(C415,'[2]Ensaio 1'!$A$2:$F$28,6,FALSE)</f>
        <v>5</v>
      </c>
      <c r="C415" s="36">
        <v>960000003784699</v>
      </c>
      <c r="D415" s="36">
        <v>900248002329588</v>
      </c>
      <c r="E415" s="1">
        <f t="shared" si="6"/>
        <v>44954</v>
      </c>
      <c r="F415" s="51">
        <v>44954.291539351798</v>
      </c>
      <c r="G415" s="51">
        <v>44954.295983796299</v>
      </c>
      <c r="H415" s="52">
        <v>3.5879629629629998E-3</v>
      </c>
      <c r="I415">
        <v>6.9969444274902344</v>
      </c>
      <c r="J415">
        <v>7261.1556478809698</v>
      </c>
      <c r="K415">
        <v>146.473828414422</v>
      </c>
    </row>
    <row r="416" spans="1:11" x14ac:dyDescent="0.25">
      <c r="A416" t="s">
        <v>0</v>
      </c>
      <c r="B416">
        <f>VLOOKUP(C416,'[2]Ensaio 1'!$A$2:$F$28,6,FALSE)</f>
        <v>5</v>
      </c>
      <c r="C416" s="36">
        <v>960000003784731</v>
      </c>
      <c r="D416" s="36">
        <v>960000003552605</v>
      </c>
      <c r="E416" s="1">
        <f t="shared" si="6"/>
        <v>44954</v>
      </c>
      <c r="F416" s="51">
        <v>44954.512893518498</v>
      </c>
      <c r="G416" s="51">
        <v>44954.515567129602</v>
      </c>
      <c r="H416" s="52">
        <v>1.9444444444440001E-3</v>
      </c>
      <c r="I416">
        <v>12.309444427490234</v>
      </c>
      <c r="J416">
        <v>8579.4324481731892</v>
      </c>
      <c r="K416">
        <v>200.38114359738901</v>
      </c>
    </row>
    <row r="417" spans="1:11" x14ac:dyDescent="0.25">
      <c r="A417" t="s">
        <v>0</v>
      </c>
      <c r="B417">
        <f>VLOOKUP(C417,'[2]Ensaio 1'!$A$2:$F$28,6,FALSE)</f>
        <v>5</v>
      </c>
      <c r="C417" s="36">
        <v>960000003784699</v>
      </c>
      <c r="D417" s="36">
        <v>900248002329588</v>
      </c>
      <c r="E417" s="1">
        <f t="shared" si="6"/>
        <v>44954</v>
      </c>
      <c r="F417" s="51">
        <v>44954.521562499998</v>
      </c>
      <c r="G417" s="51">
        <v>44954.525949074101</v>
      </c>
      <c r="H417" s="52">
        <v>3.1828703703699998E-3</v>
      </c>
      <c r="I417">
        <v>12.517499923706055</v>
      </c>
      <c r="J417">
        <v>6272.1652054004899</v>
      </c>
      <c r="K417">
        <v>113.06682521459</v>
      </c>
    </row>
    <row r="418" spans="1:11" x14ac:dyDescent="0.25">
      <c r="A418" t="s">
        <v>0</v>
      </c>
      <c r="B418">
        <f>VLOOKUP(C418,'[2]Ensaio 1'!$A$2:$F$28,6,FALSE)</f>
        <v>5</v>
      </c>
      <c r="C418" s="36">
        <v>960000003688554</v>
      </c>
      <c r="D418" s="36">
        <v>960000003688554</v>
      </c>
      <c r="E418" s="1">
        <f t="shared" si="6"/>
        <v>44954</v>
      </c>
      <c r="F418" s="51">
        <v>44954.576770833301</v>
      </c>
      <c r="G418" s="51">
        <v>44954.579270833303</v>
      </c>
      <c r="H418" s="52">
        <v>1.9675925925930001E-3</v>
      </c>
      <c r="I418">
        <v>13.842499732971191</v>
      </c>
      <c r="J418">
        <v>7866.6282089489696</v>
      </c>
      <c r="K418">
        <v>138.76080971294601</v>
      </c>
    </row>
    <row r="419" spans="1:11" x14ac:dyDescent="0.25">
      <c r="A419" t="s">
        <v>0</v>
      </c>
      <c r="B419">
        <f>VLOOKUP(C419,'[2]Ensaio 1'!$A$2:$F$28,6,FALSE)</f>
        <v>5</v>
      </c>
      <c r="C419" s="36">
        <v>960000003784731</v>
      </c>
      <c r="D419" s="36">
        <v>960000003552605</v>
      </c>
      <c r="E419" s="1">
        <f t="shared" si="6"/>
        <v>44954</v>
      </c>
      <c r="F419" s="51">
        <v>44954.784745370402</v>
      </c>
      <c r="G419" s="51">
        <v>44954.788020833301</v>
      </c>
      <c r="H419" s="52">
        <v>3.2175925925929999E-3</v>
      </c>
      <c r="I419">
        <v>18.833889007568359</v>
      </c>
      <c r="J419">
        <v>7658.78641218966</v>
      </c>
      <c r="K419">
        <v>176.08614493446001</v>
      </c>
    </row>
    <row r="420" spans="1:11" x14ac:dyDescent="0.25">
      <c r="A420" t="s">
        <v>0</v>
      </c>
      <c r="B420">
        <f>VLOOKUP(C420,'[2]Ensaio 1'!$A$2:$F$28,6,FALSE)</f>
        <v>5</v>
      </c>
      <c r="C420" s="36">
        <v>960000003688554</v>
      </c>
      <c r="D420" s="36">
        <v>960000003688554</v>
      </c>
      <c r="E420" s="1">
        <f t="shared" si="6"/>
        <v>44954</v>
      </c>
      <c r="F420" s="51">
        <v>44954.791504629597</v>
      </c>
      <c r="G420" s="51">
        <v>44954.7985416667</v>
      </c>
      <c r="H420" s="52">
        <v>3.1597222222220001E-3</v>
      </c>
      <c r="I420">
        <v>18.996110916137695</v>
      </c>
      <c r="J420">
        <v>9712.9121407154707</v>
      </c>
      <c r="K420">
        <v>221.02580771391399</v>
      </c>
    </row>
    <row r="421" spans="1:11" x14ac:dyDescent="0.25">
      <c r="A421" t="s">
        <v>0</v>
      </c>
      <c r="B421">
        <f>VLOOKUP(C421,'[2]Ensaio 1'!$A$2:$F$28,6,FALSE)</f>
        <v>5</v>
      </c>
      <c r="C421" s="36">
        <v>960000003784699</v>
      </c>
      <c r="D421" s="36">
        <v>900248002329588</v>
      </c>
      <c r="E421" s="1">
        <f t="shared" si="6"/>
        <v>44954</v>
      </c>
      <c r="F421" s="51">
        <v>44954.813067129602</v>
      </c>
      <c r="G421" s="51">
        <v>44954.816226851799</v>
      </c>
      <c r="H421" s="52">
        <v>3.0555555555559998E-3</v>
      </c>
      <c r="I421">
        <v>19.51361083984375</v>
      </c>
      <c r="J421">
        <v>8558.1141321253908</v>
      </c>
      <c r="K421">
        <v>241.52060539862899</v>
      </c>
    </row>
    <row r="422" spans="1:11" x14ac:dyDescent="0.25">
      <c r="A422" t="s">
        <v>0</v>
      </c>
      <c r="B422">
        <f>VLOOKUP(C422,'[2]Ensaio 1'!$A$2:$F$28,6,FALSE)</f>
        <v>5</v>
      </c>
      <c r="C422" s="36">
        <v>960000003784699</v>
      </c>
      <c r="D422" s="36">
        <v>900248002329588</v>
      </c>
      <c r="E422" s="1">
        <f t="shared" si="6"/>
        <v>44955</v>
      </c>
      <c r="F422" s="51">
        <v>44955.058611111097</v>
      </c>
      <c r="G422" s="51">
        <v>44955.061863425901</v>
      </c>
      <c r="H422" s="52">
        <v>3.032407407407E-3</v>
      </c>
      <c r="I422">
        <v>1.40666663646698</v>
      </c>
      <c r="J422">
        <v>8101.8025350173903</v>
      </c>
      <c r="K422">
        <v>153.22156078530199</v>
      </c>
    </row>
    <row r="423" spans="1:11" x14ac:dyDescent="0.25">
      <c r="A423" t="s">
        <v>0</v>
      </c>
      <c r="B423">
        <f>VLOOKUP(C423,'[2]Ensaio 1'!$A$2:$F$28,6,FALSE)</f>
        <v>5</v>
      </c>
      <c r="C423" s="36">
        <v>960000003784731</v>
      </c>
      <c r="D423" s="36">
        <v>960000003552605</v>
      </c>
      <c r="E423" s="1">
        <f t="shared" si="6"/>
        <v>44955</v>
      </c>
      <c r="F423" s="51">
        <v>44955.071226851898</v>
      </c>
      <c r="G423" s="51">
        <v>44955.074224536998</v>
      </c>
      <c r="H423" s="52">
        <v>2.8587962962960001E-3</v>
      </c>
      <c r="I423">
        <v>1.709444403648376</v>
      </c>
      <c r="J423">
        <v>8534.1974580182195</v>
      </c>
      <c r="K423">
        <v>189.79656139187</v>
      </c>
    </row>
    <row r="424" spans="1:11" x14ac:dyDescent="0.25">
      <c r="A424" t="s">
        <v>0</v>
      </c>
      <c r="B424">
        <f>VLOOKUP(C424,'[2]Ensaio 1'!$A$2:$F$28,6,FALSE)</f>
        <v>5</v>
      </c>
      <c r="C424" s="36">
        <v>960000003688554</v>
      </c>
      <c r="D424" s="36">
        <v>960000003688554</v>
      </c>
      <c r="E424" s="1">
        <f t="shared" si="6"/>
        <v>44955</v>
      </c>
      <c r="F424" s="51">
        <v>44955.092835648102</v>
      </c>
      <c r="G424" s="51">
        <v>44955.096631944398</v>
      </c>
      <c r="H424" s="52">
        <v>3.541666666667E-3</v>
      </c>
      <c r="I424">
        <v>2.228055477142334</v>
      </c>
      <c r="J424">
        <v>9621.1028711512608</v>
      </c>
      <c r="K424">
        <v>209.935903398725</v>
      </c>
    </row>
    <row r="425" spans="1:11" x14ac:dyDescent="0.25">
      <c r="A425" t="s">
        <v>0</v>
      </c>
      <c r="B425">
        <f>VLOOKUP(C425,'[2]Ensaio 1'!$A$2:$F$28,6,FALSE)</f>
        <v>5</v>
      </c>
      <c r="C425" s="36">
        <v>960000003784731</v>
      </c>
      <c r="D425" s="36">
        <v>960000003552605</v>
      </c>
      <c r="E425" s="1">
        <f t="shared" si="6"/>
        <v>44955</v>
      </c>
      <c r="F425" s="51">
        <v>44955.317222222198</v>
      </c>
      <c r="G425" s="51">
        <v>44955.320648148103</v>
      </c>
      <c r="H425" s="52">
        <v>3.1944444444440001E-3</v>
      </c>
      <c r="I425">
        <v>7.6133332252502441</v>
      </c>
      <c r="J425">
        <v>7190.2839354967</v>
      </c>
      <c r="K425">
        <v>139.30491623910501</v>
      </c>
    </row>
    <row r="426" spans="1:11" x14ac:dyDescent="0.25">
      <c r="A426" t="s">
        <v>0</v>
      </c>
      <c r="B426">
        <f>VLOOKUP(C426,'[2]Ensaio 1'!$A$2:$F$28,6,FALSE)</f>
        <v>5</v>
      </c>
      <c r="C426" s="36">
        <v>960000003688554</v>
      </c>
      <c r="D426" s="36">
        <v>960000003688554</v>
      </c>
      <c r="E426" s="1">
        <f t="shared" si="6"/>
        <v>44955</v>
      </c>
      <c r="F426" s="51">
        <v>44955.324293981503</v>
      </c>
      <c r="G426" s="51">
        <v>44955.327291666697</v>
      </c>
      <c r="H426" s="52">
        <v>2.7546296296299998E-3</v>
      </c>
      <c r="I426">
        <v>7.7830557823181152</v>
      </c>
      <c r="J426">
        <v>10057.569450442899</v>
      </c>
      <c r="K426">
        <v>231.25806968616399</v>
      </c>
    </row>
    <row r="427" spans="1:11" x14ac:dyDescent="0.25">
      <c r="A427" t="s">
        <v>0</v>
      </c>
      <c r="B427">
        <f>VLOOKUP(C427,'[2]Ensaio 1'!$A$2:$F$28,6,FALSE)</f>
        <v>5</v>
      </c>
      <c r="C427" s="36">
        <v>960000003784699</v>
      </c>
      <c r="D427" s="36">
        <v>900248002329588</v>
      </c>
      <c r="E427" s="1">
        <f t="shared" si="6"/>
        <v>44955</v>
      </c>
      <c r="F427" s="51">
        <v>44955.332314814797</v>
      </c>
      <c r="G427" s="51">
        <v>44955.334907407399</v>
      </c>
      <c r="H427" s="52">
        <v>1.8749999999999999E-3</v>
      </c>
      <c r="I427">
        <v>7.975555419921875</v>
      </c>
      <c r="J427">
        <v>8450.1466151446602</v>
      </c>
      <c r="K427">
        <v>151.80579408830801</v>
      </c>
    </row>
    <row r="428" spans="1:11" x14ac:dyDescent="0.25">
      <c r="A428" t="s">
        <v>0</v>
      </c>
      <c r="B428">
        <f>VLOOKUP(C428,'[2]Ensaio 1'!$A$2:$F$28,6,FALSE)</f>
        <v>5</v>
      </c>
      <c r="C428" s="36">
        <v>960000003688554</v>
      </c>
      <c r="D428" s="36">
        <v>960000003688554</v>
      </c>
      <c r="E428" s="1">
        <f t="shared" si="6"/>
        <v>44955</v>
      </c>
      <c r="F428" s="51">
        <v>44955.5363194444</v>
      </c>
      <c r="G428" s="51">
        <v>44955.540578703702</v>
      </c>
      <c r="H428" s="52">
        <v>3.4375E-3</v>
      </c>
      <c r="I428">
        <v>12.87166690826416</v>
      </c>
      <c r="J428">
        <v>7988.2018533664896</v>
      </c>
      <c r="K428">
        <v>119.027724707307</v>
      </c>
    </row>
    <row r="429" spans="1:11" x14ac:dyDescent="0.25">
      <c r="A429" t="s">
        <v>0</v>
      </c>
      <c r="B429">
        <f>VLOOKUP(C429,'[2]Ensaio 1'!$A$2:$F$28,6,FALSE)</f>
        <v>5</v>
      </c>
      <c r="C429" s="36">
        <v>960000003784731</v>
      </c>
      <c r="D429" s="36">
        <v>960000003552605</v>
      </c>
      <c r="E429" s="1">
        <f t="shared" si="6"/>
        <v>44955</v>
      </c>
      <c r="F429" s="51">
        <v>44955.541585648098</v>
      </c>
      <c r="G429" s="51">
        <v>44955.545370370397</v>
      </c>
      <c r="H429" s="52">
        <v>2.8587962962960001E-3</v>
      </c>
      <c r="I429">
        <v>12.998055458068848</v>
      </c>
      <c r="J429">
        <v>7261.0602414749701</v>
      </c>
      <c r="K429">
        <v>159.985879116972</v>
      </c>
    </row>
    <row r="430" spans="1:11" x14ac:dyDescent="0.25">
      <c r="A430" t="s">
        <v>0</v>
      </c>
      <c r="B430">
        <f>VLOOKUP(C430,'[2]Ensaio 1'!$A$2:$F$28,6,FALSE)</f>
        <v>5</v>
      </c>
      <c r="C430" s="36">
        <v>960000003784731</v>
      </c>
      <c r="D430" s="36">
        <v>960000003552605</v>
      </c>
      <c r="E430" s="1">
        <f t="shared" si="6"/>
        <v>44955</v>
      </c>
      <c r="F430" s="51">
        <v>44955.765277777798</v>
      </c>
      <c r="G430" s="51">
        <v>44955.767766203702</v>
      </c>
      <c r="H430" s="52">
        <v>2.1296296296300001E-3</v>
      </c>
      <c r="I430">
        <v>18.366666793823242</v>
      </c>
      <c r="J430">
        <v>9922.8295921103399</v>
      </c>
      <c r="K430">
        <v>211.621285133215</v>
      </c>
    </row>
    <row r="431" spans="1:11" x14ac:dyDescent="0.25">
      <c r="A431" t="s">
        <v>0</v>
      </c>
      <c r="B431">
        <f>VLOOKUP(C431,'[2]Ensaio 1'!$A$2:$F$28,6,FALSE)</f>
        <v>5</v>
      </c>
      <c r="C431" s="36">
        <v>960000003688554</v>
      </c>
      <c r="D431" s="36">
        <v>960000003688554</v>
      </c>
      <c r="E431" s="1">
        <f t="shared" si="6"/>
        <v>44955</v>
      </c>
      <c r="F431" s="51">
        <v>44955.768483796302</v>
      </c>
      <c r="G431" s="51">
        <v>44955.7723611111</v>
      </c>
      <c r="H431" s="52">
        <v>3.3680555555560001E-3</v>
      </c>
      <c r="I431">
        <v>18.443611145019531</v>
      </c>
      <c r="J431">
        <v>10703.130184195301</v>
      </c>
      <c r="K431">
        <v>235.195306590494</v>
      </c>
    </row>
    <row r="432" spans="1:11" x14ac:dyDescent="0.25">
      <c r="A432" t="s">
        <v>0</v>
      </c>
      <c r="B432">
        <f>VLOOKUP(C432,'[2]Ensaio 1'!$A$2:$F$28,6,FALSE)</f>
        <v>5</v>
      </c>
      <c r="C432" s="36">
        <v>960000003784699</v>
      </c>
      <c r="D432" s="36">
        <v>900248002329588</v>
      </c>
      <c r="E432" s="1">
        <f t="shared" si="6"/>
        <v>44955</v>
      </c>
      <c r="F432" s="51">
        <v>44955.793078703697</v>
      </c>
      <c r="G432" s="51">
        <v>44955.795694444401</v>
      </c>
      <c r="H432" s="52">
        <v>1.585648148148E-3</v>
      </c>
      <c r="I432">
        <v>19.033889770507813</v>
      </c>
      <c r="J432">
        <v>8670.9996634074196</v>
      </c>
      <c r="K432">
        <v>154.380247921479</v>
      </c>
    </row>
    <row r="433" spans="1:11" x14ac:dyDescent="0.25">
      <c r="A433" t="s">
        <v>0</v>
      </c>
      <c r="B433">
        <f>VLOOKUP(C433,'[2]Ensaio 1'!$A$2:$F$28,6,FALSE)</f>
        <v>5</v>
      </c>
      <c r="C433" s="36">
        <v>960000003784731</v>
      </c>
      <c r="D433" s="36">
        <v>960000003552605</v>
      </c>
      <c r="E433" s="1">
        <f t="shared" si="6"/>
        <v>44956</v>
      </c>
      <c r="F433" s="51">
        <v>44956.009398148097</v>
      </c>
      <c r="G433" s="51">
        <v>44956.012488425898</v>
      </c>
      <c r="H433" s="52">
        <v>2.9629629629630001E-3</v>
      </c>
      <c r="I433">
        <v>0.22555555403232599</v>
      </c>
      <c r="J433">
        <v>8337.2503033971698</v>
      </c>
      <c r="K433">
        <v>164.745094097064</v>
      </c>
    </row>
    <row r="434" spans="1:11" x14ac:dyDescent="0.25">
      <c r="A434" t="s">
        <v>0</v>
      </c>
      <c r="B434">
        <f>VLOOKUP(C434,'[2]Ensaio 1'!$A$2:$F$28,6,FALSE)</f>
        <v>5</v>
      </c>
      <c r="C434" s="36">
        <v>960000003688554</v>
      </c>
      <c r="D434" s="36">
        <v>960000003688554</v>
      </c>
      <c r="E434" s="1">
        <f t="shared" si="6"/>
        <v>44956</v>
      </c>
      <c r="F434" s="51">
        <v>44956.014432870397</v>
      </c>
      <c r="G434" s="51">
        <v>44956.018032407403</v>
      </c>
      <c r="H434" s="52">
        <v>3.136574074074E-3</v>
      </c>
      <c r="I434">
        <v>0.34638887643814098</v>
      </c>
      <c r="J434">
        <v>9395.5445049755908</v>
      </c>
      <c r="K434">
        <v>179.01218717529699</v>
      </c>
    </row>
    <row r="435" spans="1:11" x14ac:dyDescent="0.25">
      <c r="A435" t="s">
        <v>0</v>
      </c>
      <c r="B435">
        <f>VLOOKUP(C435,'[2]Ensaio 1'!$A$2:$F$28,6,FALSE)</f>
        <v>5</v>
      </c>
      <c r="C435" s="36">
        <v>960000003784731</v>
      </c>
      <c r="D435" s="36">
        <v>960000003552605</v>
      </c>
      <c r="E435" s="1">
        <f t="shared" si="6"/>
        <v>44956</v>
      </c>
      <c r="F435" s="51">
        <v>44956.258229166699</v>
      </c>
      <c r="G435" s="51">
        <v>44956.261689814797</v>
      </c>
      <c r="H435" s="52">
        <v>2.939814814815E-3</v>
      </c>
      <c r="I435">
        <v>6.1975002288818359</v>
      </c>
      <c r="J435">
        <v>7638.0355278138904</v>
      </c>
      <c r="K435">
        <v>162.61051860717501</v>
      </c>
    </row>
    <row r="436" spans="1:11" x14ac:dyDescent="0.25">
      <c r="A436" t="s">
        <v>0</v>
      </c>
      <c r="B436">
        <f>VLOOKUP(C436,'[2]Ensaio 1'!$A$2:$F$28,6,FALSE)</f>
        <v>5</v>
      </c>
      <c r="C436" s="36">
        <v>960000003784699</v>
      </c>
      <c r="D436" s="36">
        <v>900248002329588</v>
      </c>
      <c r="E436" s="1">
        <f t="shared" si="6"/>
        <v>44956</v>
      </c>
      <c r="F436" s="51">
        <v>44956.279282407399</v>
      </c>
      <c r="G436" s="51">
        <v>44956.283090277801</v>
      </c>
      <c r="H436" s="52">
        <v>3.5532407407409998E-3</v>
      </c>
      <c r="I436">
        <v>6.7027778625488281</v>
      </c>
      <c r="J436">
        <v>7826.8736506032101</v>
      </c>
      <c r="K436">
        <v>180.305958817576</v>
      </c>
    </row>
    <row r="437" spans="1:11" x14ac:dyDescent="0.25">
      <c r="A437" t="s">
        <v>0</v>
      </c>
      <c r="B437">
        <f>VLOOKUP(C437,'[2]Ensaio 1'!$A$2:$F$28,6,FALSE)</f>
        <v>5</v>
      </c>
      <c r="C437" s="36">
        <v>960000003688554</v>
      </c>
      <c r="D437" s="36">
        <v>960000003688554</v>
      </c>
      <c r="E437" s="1">
        <f t="shared" si="6"/>
        <v>44956</v>
      </c>
      <c r="F437" s="51">
        <v>44956.342037037</v>
      </c>
      <c r="G437" s="51">
        <v>44956.344745370399</v>
      </c>
      <c r="H437" s="52">
        <v>1.851851851852E-3</v>
      </c>
      <c r="I437">
        <v>8.2088890075683594</v>
      </c>
      <c r="J437">
        <v>10340.050162888099</v>
      </c>
      <c r="K437">
        <v>214.26578002327</v>
      </c>
    </row>
    <row r="438" spans="1:11" x14ac:dyDescent="0.25">
      <c r="A438" t="s">
        <v>0</v>
      </c>
      <c r="B438">
        <f>VLOOKUP(C438,'[2]Ensaio 1'!$A$2:$F$28,6,FALSE)</f>
        <v>2</v>
      </c>
      <c r="C438" s="36">
        <v>900248002084301</v>
      </c>
      <c r="D438" s="36">
        <v>900248002084301</v>
      </c>
      <c r="E438" s="1">
        <f t="shared" si="6"/>
        <v>44956</v>
      </c>
      <c r="F438" s="51">
        <v>44956.391770833303</v>
      </c>
      <c r="G438" s="51">
        <v>44956.397210648101</v>
      </c>
      <c r="H438" s="52">
        <v>2.303240740741E-3</v>
      </c>
      <c r="I438">
        <v>9.4025001525878906</v>
      </c>
      <c r="J438">
        <v>10159.176529349699</v>
      </c>
      <c r="K438">
        <v>251.29343994298699</v>
      </c>
    </row>
    <row r="439" spans="1:11" x14ac:dyDescent="0.25">
      <c r="A439" t="s">
        <v>0</v>
      </c>
      <c r="B439">
        <f>VLOOKUP(C439,'[2]Ensaio 1'!$A$2:$F$28,6,FALSE)</f>
        <v>2</v>
      </c>
      <c r="C439" s="36">
        <v>960000003688457</v>
      </c>
      <c r="D439" s="36">
        <v>960000003688457</v>
      </c>
      <c r="E439" s="1">
        <f t="shared" si="6"/>
        <v>44956</v>
      </c>
      <c r="F439" s="51">
        <v>44956.3989814815</v>
      </c>
      <c r="G439" s="51">
        <v>44956.401793981502</v>
      </c>
      <c r="H439" s="52">
        <v>2.6967592592590001E-3</v>
      </c>
      <c r="I439">
        <v>9.5755558013916016</v>
      </c>
      <c r="J439">
        <v>7817.2537707967604</v>
      </c>
      <c r="K439">
        <v>226.211174674369</v>
      </c>
    </row>
    <row r="440" spans="1:11" x14ac:dyDescent="0.25">
      <c r="A440" t="s">
        <v>0</v>
      </c>
      <c r="B440">
        <f>VLOOKUP(C440,'[2]Ensaio 1'!$A$2:$F$28,6,FALSE)</f>
        <v>2</v>
      </c>
      <c r="C440" s="36">
        <v>900248002085907</v>
      </c>
      <c r="D440" s="36">
        <v>900248002085907</v>
      </c>
      <c r="E440" s="1">
        <f t="shared" si="6"/>
        <v>44956</v>
      </c>
      <c r="F440" s="51">
        <v>44956.421006944402</v>
      </c>
      <c r="G440" s="51">
        <v>44956.424085648097</v>
      </c>
      <c r="H440" s="52">
        <v>3.0092592592589999E-3</v>
      </c>
      <c r="I440">
        <v>10.104166984558105</v>
      </c>
      <c r="J440">
        <v>9297.5245806457497</v>
      </c>
      <c r="K440">
        <v>241.19058484003699</v>
      </c>
    </row>
    <row r="441" spans="1:11" x14ac:dyDescent="0.25">
      <c r="A441" t="s">
        <v>0</v>
      </c>
      <c r="B441">
        <f>VLOOKUP(C441,'[2]Ensaio 1'!$A$2:$F$28,6,FALSE)</f>
        <v>2</v>
      </c>
      <c r="C441" s="36">
        <v>960000003688457</v>
      </c>
      <c r="D441" s="36">
        <v>960000003688457</v>
      </c>
      <c r="E441" s="1">
        <f t="shared" si="6"/>
        <v>44956</v>
      </c>
      <c r="F441" s="51">
        <v>44956.426967592597</v>
      </c>
      <c r="G441" s="51">
        <v>44956.428541666697</v>
      </c>
      <c r="H441" s="52">
        <v>1.539351851852E-3</v>
      </c>
      <c r="I441">
        <v>10.247221946716309</v>
      </c>
      <c r="J441">
        <v>7456.1988913892501</v>
      </c>
      <c r="K441">
        <v>216.38277483621101</v>
      </c>
    </row>
    <row r="442" spans="1:11" x14ac:dyDescent="0.25">
      <c r="A442" t="s">
        <v>0</v>
      </c>
      <c r="B442">
        <f>VLOOKUP(C442,'[2]Ensaio 1'!$A$2:$F$28,6,FALSE)</f>
        <v>2</v>
      </c>
      <c r="C442" s="36">
        <v>960000003516311</v>
      </c>
      <c r="D442" s="36">
        <v>960000003516311</v>
      </c>
      <c r="E442" s="1">
        <f t="shared" si="6"/>
        <v>44956</v>
      </c>
      <c r="F442" s="51">
        <v>44956.440995370402</v>
      </c>
      <c r="G442" s="51">
        <v>44956.447627314803</v>
      </c>
      <c r="H442" s="52">
        <v>2.2569444444440001E-3</v>
      </c>
      <c r="I442">
        <v>10.583889007568359</v>
      </c>
      <c r="J442">
        <v>7371.7154487110502</v>
      </c>
      <c r="K442">
        <v>156.58747324420401</v>
      </c>
    </row>
    <row r="443" spans="1:11" x14ac:dyDescent="0.25">
      <c r="A443" t="s">
        <v>0</v>
      </c>
      <c r="B443">
        <f>VLOOKUP(C443,'[2]Ensaio 1'!$A$2:$F$28,6,FALSE)</f>
        <v>2</v>
      </c>
      <c r="C443" s="36">
        <v>960000003827747</v>
      </c>
      <c r="D443" s="36">
        <v>960000003827747</v>
      </c>
      <c r="E443" s="1">
        <f t="shared" si="6"/>
        <v>44956</v>
      </c>
      <c r="F443" s="51">
        <v>44956.493946759299</v>
      </c>
      <c r="G443" s="51">
        <v>44956.497916666704</v>
      </c>
      <c r="H443" s="52">
        <v>3.7615740740740001E-3</v>
      </c>
      <c r="I443">
        <v>11.854722023010254</v>
      </c>
      <c r="J443">
        <v>8874.7471394632594</v>
      </c>
      <c r="K443">
        <v>159.43214571316</v>
      </c>
    </row>
    <row r="444" spans="1:11" x14ac:dyDescent="0.25">
      <c r="A444" t="s">
        <v>0</v>
      </c>
      <c r="B444">
        <f>VLOOKUP(C444,'[2]Ensaio 1'!$A$2:$F$28,6,FALSE)</f>
        <v>2</v>
      </c>
      <c r="C444" s="36">
        <v>900248002084301</v>
      </c>
      <c r="D444" s="36">
        <v>900248002084301</v>
      </c>
      <c r="E444" s="1">
        <f t="shared" si="6"/>
        <v>44956</v>
      </c>
      <c r="F444" s="51">
        <v>44956.505798611099</v>
      </c>
      <c r="G444" s="51">
        <v>44956.509490740696</v>
      </c>
      <c r="H444" s="52">
        <v>2.534722222222E-3</v>
      </c>
      <c r="I444">
        <v>12.139166831970215</v>
      </c>
      <c r="J444">
        <v>8901.8850386010108</v>
      </c>
      <c r="K444">
        <v>251.50610596083999</v>
      </c>
    </row>
    <row r="445" spans="1:11" x14ac:dyDescent="0.25">
      <c r="A445" t="s">
        <v>0</v>
      </c>
      <c r="B445">
        <f>VLOOKUP(C445,'[2]Ensaio 1'!$A$2:$F$28,6,FALSE)</f>
        <v>2</v>
      </c>
      <c r="C445" s="36">
        <v>900248002084301</v>
      </c>
      <c r="D445" s="36">
        <v>900248002084301</v>
      </c>
      <c r="E445" s="1">
        <f t="shared" si="6"/>
        <v>44956</v>
      </c>
      <c r="F445" s="51">
        <v>44956.612916666701</v>
      </c>
      <c r="G445" s="51">
        <v>44956.616527777798</v>
      </c>
      <c r="H445" s="52">
        <v>3.5532407407409998E-3</v>
      </c>
      <c r="I445">
        <v>14.710000038146973</v>
      </c>
      <c r="J445">
        <v>9141.9886662242807</v>
      </c>
      <c r="K445">
        <v>184.375443133505</v>
      </c>
    </row>
    <row r="446" spans="1:11" x14ac:dyDescent="0.25">
      <c r="A446" t="s">
        <v>0</v>
      </c>
      <c r="B446">
        <f>VLOOKUP(C446,'[2]Ensaio 1'!$A$2:$F$28,6,FALSE)</f>
        <v>2</v>
      </c>
      <c r="C446" s="36">
        <v>960000003688457</v>
      </c>
      <c r="D446" s="36">
        <v>960000003688457</v>
      </c>
      <c r="E446" s="1">
        <f t="shared" si="6"/>
        <v>44956</v>
      </c>
      <c r="F446" s="51">
        <v>44956.622673611098</v>
      </c>
      <c r="G446" s="51">
        <v>44956.625682870399</v>
      </c>
      <c r="H446" s="52">
        <v>2.87037037037E-3</v>
      </c>
      <c r="I446">
        <v>14.944167137145996</v>
      </c>
      <c r="J446">
        <v>7441.8899227251904</v>
      </c>
      <c r="K446">
        <v>149.315090709749</v>
      </c>
    </row>
    <row r="447" spans="1:11" x14ac:dyDescent="0.25">
      <c r="A447" t="s">
        <v>0</v>
      </c>
      <c r="B447">
        <f>VLOOKUP(C447,'[2]Ensaio 1'!$A$2:$F$28,6,FALSE)</f>
        <v>2</v>
      </c>
      <c r="C447" s="36">
        <v>900248002085907</v>
      </c>
      <c r="D447" s="36">
        <v>900248002085907</v>
      </c>
      <c r="E447" s="1">
        <f t="shared" si="6"/>
        <v>44956</v>
      </c>
      <c r="F447" s="51">
        <v>44956.7267013889</v>
      </c>
      <c r="G447" s="51">
        <v>44956.729548611103</v>
      </c>
      <c r="H447" s="52">
        <v>2.7893518518520002E-3</v>
      </c>
      <c r="I447">
        <v>17.440834045410156</v>
      </c>
      <c r="J447">
        <v>10879.721464291501</v>
      </c>
      <c r="K447">
        <v>265.44125004499602</v>
      </c>
    </row>
    <row r="448" spans="1:11" x14ac:dyDescent="0.25">
      <c r="A448" t="s">
        <v>0</v>
      </c>
      <c r="B448">
        <f>VLOOKUP(C448,'[2]Ensaio 1'!$A$2:$F$28,6,FALSE)</f>
        <v>2</v>
      </c>
      <c r="C448" s="36">
        <v>900248002084301</v>
      </c>
      <c r="D448" s="36">
        <v>900248002084301</v>
      </c>
      <c r="E448" s="1">
        <f t="shared" si="6"/>
        <v>44956</v>
      </c>
      <c r="F448" s="51">
        <v>44956.732812499999</v>
      </c>
      <c r="G448" s="51">
        <v>44956.734710648103</v>
      </c>
      <c r="H448" s="52">
        <v>1.400462962963E-3</v>
      </c>
      <c r="I448">
        <v>17.587499618530273</v>
      </c>
      <c r="J448">
        <v>10331.6462216043</v>
      </c>
      <c r="K448">
        <v>264.64818679462797</v>
      </c>
    </row>
    <row r="449" spans="1:11" x14ac:dyDescent="0.25">
      <c r="A449" t="s">
        <v>0</v>
      </c>
      <c r="B449">
        <f>VLOOKUP(C449,'[2]Ensaio 1'!$A$2:$F$28,6,FALSE)</f>
        <v>2</v>
      </c>
      <c r="C449" s="36">
        <v>960000003827747</v>
      </c>
      <c r="D449" s="36">
        <v>960000003827747</v>
      </c>
      <c r="E449" s="1">
        <f t="shared" si="6"/>
        <v>44956</v>
      </c>
      <c r="F449" s="51">
        <v>44956.7364467593</v>
      </c>
      <c r="G449" s="51">
        <v>44956.740034722199</v>
      </c>
      <c r="H449" s="52">
        <v>3.0671296296300001E-3</v>
      </c>
      <c r="I449">
        <v>17.674722671508789</v>
      </c>
      <c r="J449">
        <v>9472.3648460929198</v>
      </c>
      <c r="K449">
        <v>194.127609778985</v>
      </c>
    </row>
    <row r="450" spans="1:11" x14ac:dyDescent="0.25">
      <c r="A450" t="s">
        <v>0</v>
      </c>
      <c r="B450">
        <f>VLOOKUP(C450,'[2]Ensaio 1'!$A$2:$F$28,6,FALSE)</f>
        <v>2</v>
      </c>
      <c r="C450" s="36">
        <v>960000003516311</v>
      </c>
      <c r="D450" s="36">
        <v>960000003516311</v>
      </c>
      <c r="E450" s="1">
        <f t="shared" ref="E450:E513" si="7">ROUNDDOWN(LEFT(F450,10),0)</f>
        <v>44956</v>
      </c>
      <c r="F450" s="51">
        <v>44956.776041666701</v>
      </c>
      <c r="G450" s="51">
        <v>44956.779745370397</v>
      </c>
      <c r="H450" s="52">
        <v>3.206018518519E-3</v>
      </c>
      <c r="I450">
        <v>18.625</v>
      </c>
      <c r="J450">
        <v>7948.8130616726303</v>
      </c>
      <c r="K450">
        <v>167.434435053382</v>
      </c>
    </row>
    <row r="451" spans="1:11" x14ac:dyDescent="0.25">
      <c r="A451" t="s">
        <v>0</v>
      </c>
      <c r="B451">
        <f>VLOOKUP(C451,'[2]Ensaio 1'!$A$2:$F$28,6,FALSE)</f>
        <v>2</v>
      </c>
      <c r="C451" s="36">
        <v>960000003688457</v>
      </c>
      <c r="D451" s="36">
        <v>960000003688457</v>
      </c>
      <c r="E451" s="1">
        <f t="shared" si="7"/>
        <v>44956</v>
      </c>
      <c r="F451" s="51">
        <v>44956.784386574102</v>
      </c>
      <c r="G451" s="51">
        <v>44956.787118055603</v>
      </c>
      <c r="H451" s="52">
        <v>2.2106481481479999E-3</v>
      </c>
      <c r="I451">
        <v>18.825277328491211</v>
      </c>
      <c r="J451">
        <v>7884.9231038651596</v>
      </c>
      <c r="K451">
        <v>195.21347272025201</v>
      </c>
    </row>
    <row r="452" spans="1:11" x14ac:dyDescent="0.25">
      <c r="A452" t="s">
        <v>0</v>
      </c>
      <c r="B452">
        <f>VLOOKUP(C452,'[2]Ensaio 1'!$A$2:$F$28,6,FALSE)</f>
        <v>2</v>
      </c>
      <c r="C452" s="36">
        <v>900248002084301</v>
      </c>
      <c r="D452" s="36">
        <v>900248002084301</v>
      </c>
      <c r="E452" s="1">
        <f t="shared" si="7"/>
        <v>44956</v>
      </c>
      <c r="F452" s="51">
        <v>44956.851724537002</v>
      </c>
      <c r="G452" s="51">
        <v>44956.855486111097</v>
      </c>
      <c r="H452" s="52">
        <v>2.731481481481E-3</v>
      </c>
      <c r="I452">
        <v>20.441389083862305</v>
      </c>
      <c r="J452">
        <v>11405.935913744401</v>
      </c>
      <c r="K452">
        <v>216.728746073905</v>
      </c>
    </row>
    <row r="453" spans="1:11" x14ac:dyDescent="0.25">
      <c r="A453" t="s">
        <v>0</v>
      </c>
      <c r="B453">
        <f>VLOOKUP(C453,'[2]Ensaio 1'!$A$2:$F$28,6,FALSE)</f>
        <v>2</v>
      </c>
      <c r="C453" s="36">
        <v>960000003688457</v>
      </c>
      <c r="D453" s="36">
        <v>960000003688457</v>
      </c>
      <c r="E453" s="1">
        <f t="shared" si="7"/>
        <v>44956</v>
      </c>
      <c r="F453" s="51">
        <v>44956.862199074101</v>
      </c>
      <c r="G453" s="51">
        <v>44956.866840277798</v>
      </c>
      <c r="H453" s="52">
        <v>3.6921296296300002E-3</v>
      </c>
      <c r="I453">
        <v>20.692777633666992</v>
      </c>
      <c r="J453">
        <v>8627.5256172421905</v>
      </c>
      <c r="K453">
        <v>229.52905192581201</v>
      </c>
    </row>
    <row r="454" spans="1:11" x14ac:dyDescent="0.25">
      <c r="A454" t="s">
        <v>0</v>
      </c>
      <c r="B454">
        <f>VLOOKUP(C454,'[2]Ensaio 1'!$A$2:$F$28,6,FALSE)</f>
        <v>2</v>
      </c>
      <c r="C454" s="36">
        <v>900248002084301</v>
      </c>
      <c r="D454" s="36">
        <v>900248002084301</v>
      </c>
      <c r="E454" s="1">
        <f t="shared" si="7"/>
        <v>44956</v>
      </c>
      <c r="F454" s="51">
        <v>44956.962083333303</v>
      </c>
      <c r="G454" s="51">
        <v>44956.964189814797</v>
      </c>
      <c r="H454" s="52">
        <v>1.9907407407410002E-3</v>
      </c>
      <c r="I454">
        <v>23.090000152587891</v>
      </c>
      <c r="J454">
        <v>8355.4853517150405</v>
      </c>
      <c r="K454">
        <v>153.53223643148101</v>
      </c>
    </row>
    <row r="455" spans="1:11" x14ac:dyDescent="0.25">
      <c r="A455" t="s">
        <v>0</v>
      </c>
      <c r="B455">
        <f>VLOOKUP(C455,'[2]Ensaio 1'!$A$2:$F$28,6,FALSE)</f>
        <v>2</v>
      </c>
      <c r="C455" s="36">
        <v>960000003827747</v>
      </c>
      <c r="D455" s="36">
        <v>960000003827747</v>
      </c>
      <c r="E455" s="1">
        <f t="shared" si="7"/>
        <v>44957</v>
      </c>
      <c r="F455" s="51">
        <v>44957.011539351799</v>
      </c>
      <c r="G455" s="51">
        <v>44957.018425925897</v>
      </c>
      <c r="H455" s="52">
        <v>3.8310185185190001E-3</v>
      </c>
      <c r="I455">
        <v>0.27694445848464999</v>
      </c>
      <c r="J455">
        <v>8363.4509068852203</v>
      </c>
      <c r="K455">
        <v>152.00187380361899</v>
      </c>
    </row>
    <row r="456" spans="1:11" x14ac:dyDescent="0.25">
      <c r="A456" t="s">
        <v>0</v>
      </c>
      <c r="B456">
        <f>VLOOKUP(C456,'[2]Ensaio 1'!$A$2:$F$28,6,FALSE)</f>
        <v>2</v>
      </c>
      <c r="C456" s="36">
        <v>900248002085907</v>
      </c>
      <c r="D456" s="36">
        <v>900248002085907</v>
      </c>
      <c r="E456" s="1">
        <f t="shared" si="7"/>
        <v>44957</v>
      </c>
      <c r="F456" s="51">
        <v>44957.071666666699</v>
      </c>
      <c r="G456" s="51">
        <v>44957.074976851902</v>
      </c>
      <c r="H456" s="52">
        <v>3.275462962963E-3</v>
      </c>
      <c r="I456">
        <v>1.720000028610229</v>
      </c>
      <c r="J456">
        <v>9198.3958106926802</v>
      </c>
      <c r="K456">
        <v>203.85954848082301</v>
      </c>
    </row>
    <row r="457" spans="1:11" x14ac:dyDescent="0.25">
      <c r="A457" t="s">
        <v>0</v>
      </c>
      <c r="B457">
        <f>VLOOKUP(C457,'[2]Ensaio 1'!$A$2:$F$28,6,FALSE)</f>
        <v>2</v>
      </c>
      <c r="C457" s="36">
        <v>900248002084301</v>
      </c>
      <c r="D457" s="36">
        <v>900248002084301</v>
      </c>
      <c r="E457" s="1">
        <f t="shared" si="7"/>
        <v>44957</v>
      </c>
      <c r="F457" s="51">
        <v>44957.075937499998</v>
      </c>
      <c r="G457" s="51">
        <v>44957.080335648097</v>
      </c>
      <c r="H457" s="52">
        <v>4.3055555555559996E-3</v>
      </c>
      <c r="I457">
        <v>1.8224999904632571</v>
      </c>
      <c r="J457">
        <v>10057.3845281575</v>
      </c>
      <c r="K457">
        <v>279.93809231356101</v>
      </c>
    </row>
    <row r="458" spans="1:11" x14ac:dyDescent="0.25">
      <c r="A458" t="s">
        <v>0</v>
      </c>
      <c r="B458">
        <f>VLOOKUP(C458,'[2]Ensaio 1'!$A$2:$F$28,6,FALSE)</f>
        <v>2</v>
      </c>
      <c r="C458" s="36">
        <v>960000003516311</v>
      </c>
      <c r="D458" s="36">
        <v>960000003516311</v>
      </c>
      <c r="E458" s="1">
        <f t="shared" si="7"/>
        <v>44957</v>
      </c>
      <c r="F458" s="51">
        <v>44957.082511574103</v>
      </c>
      <c r="G458" s="51">
        <v>44957.087187500001</v>
      </c>
      <c r="H458" s="52">
        <v>3.576388888889E-3</v>
      </c>
      <c r="I458">
        <v>1.9802777767181401</v>
      </c>
      <c r="J458">
        <v>8661.5230116554194</v>
      </c>
      <c r="K458">
        <v>147.83867264375201</v>
      </c>
    </row>
    <row r="459" spans="1:11" x14ac:dyDescent="0.25">
      <c r="A459" t="s">
        <v>0</v>
      </c>
      <c r="B459">
        <f>VLOOKUP(C459,'[2]Ensaio 1'!$A$2:$F$28,6,FALSE)</f>
        <v>2</v>
      </c>
      <c r="C459" s="36">
        <v>960000003688457</v>
      </c>
      <c r="D459" s="36">
        <v>960000003688457</v>
      </c>
      <c r="E459" s="1">
        <f t="shared" si="7"/>
        <v>44957</v>
      </c>
      <c r="F459" s="51">
        <v>44957.095775463</v>
      </c>
      <c r="G459" s="51">
        <v>44957.099374999998</v>
      </c>
      <c r="H459" s="52">
        <v>3.5300925925930001E-3</v>
      </c>
      <c r="I459">
        <v>2.298611164093018</v>
      </c>
      <c r="J459">
        <v>9226.6192206517499</v>
      </c>
      <c r="K459">
        <v>196.39234580650901</v>
      </c>
    </row>
    <row r="460" spans="1:11" x14ac:dyDescent="0.25">
      <c r="A460" t="s">
        <v>0</v>
      </c>
      <c r="B460">
        <f>VLOOKUP(C460,'[2]Ensaio 1'!$A$2:$F$28,6,FALSE)</f>
        <v>2</v>
      </c>
      <c r="C460" s="36">
        <v>960000003827747</v>
      </c>
      <c r="D460" s="36">
        <v>960000003827747</v>
      </c>
      <c r="E460" s="1">
        <f t="shared" si="7"/>
        <v>44957</v>
      </c>
      <c r="F460" s="51">
        <v>44957.291168981501</v>
      </c>
      <c r="G460" s="51">
        <v>44957.295034722199</v>
      </c>
      <c r="H460" s="52">
        <v>3.7268518518520002E-3</v>
      </c>
      <c r="I460">
        <v>6.9880557060241699</v>
      </c>
      <c r="J460">
        <v>8523.7922169727208</v>
      </c>
      <c r="K460">
        <v>142.379604325592</v>
      </c>
    </row>
    <row r="461" spans="1:11" x14ac:dyDescent="0.25">
      <c r="A461" t="s">
        <v>0</v>
      </c>
      <c r="B461">
        <f>VLOOKUP(C461,'[2]Ensaio 1'!$A$2:$F$28,6,FALSE)</f>
        <v>2</v>
      </c>
      <c r="C461" s="36">
        <v>900248002085907</v>
      </c>
      <c r="D461" s="36">
        <v>900248002085907</v>
      </c>
      <c r="E461" s="1">
        <f t="shared" si="7"/>
        <v>44957</v>
      </c>
      <c r="F461" s="51">
        <v>44957.2974189815</v>
      </c>
      <c r="G461" s="51">
        <v>44957.300856481503</v>
      </c>
      <c r="H461" s="52">
        <v>3.3912037037040002E-3</v>
      </c>
      <c r="I461">
        <v>7.1380553245544434</v>
      </c>
      <c r="J461">
        <v>9325.0019359567505</v>
      </c>
      <c r="K461">
        <v>211.99526405671801</v>
      </c>
    </row>
    <row r="462" spans="1:11" x14ac:dyDescent="0.25">
      <c r="A462" t="s">
        <v>0</v>
      </c>
      <c r="B462">
        <f>VLOOKUP(C462,'[2]Ensaio 1'!$A$2:$F$28,6,FALSE)</f>
        <v>2</v>
      </c>
      <c r="C462" s="36">
        <v>900248002084301</v>
      </c>
      <c r="D462" s="36">
        <v>900248002084301</v>
      </c>
      <c r="E462" s="1">
        <f t="shared" si="7"/>
        <v>44957</v>
      </c>
      <c r="F462" s="51">
        <v>44957.302222222199</v>
      </c>
      <c r="G462" s="51">
        <v>44957.309016203697</v>
      </c>
      <c r="H462" s="52">
        <v>4.7453703703699999E-3</v>
      </c>
      <c r="I462">
        <v>7.253333568572998</v>
      </c>
      <c r="J462">
        <v>7928.5041679148399</v>
      </c>
      <c r="K462">
        <v>161.657000298664</v>
      </c>
    </row>
    <row r="463" spans="1:11" x14ac:dyDescent="0.25">
      <c r="A463" t="s">
        <v>0</v>
      </c>
      <c r="B463">
        <f>VLOOKUP(C463,'[2]Ensaio 1'!$A$2:$F$28,6,FALSE)</f>
        <v>2</v>
      </c>
      <c r="C463" s="36">
        <v>960000003516311</v>
      </c>
      <c r="D463" s="36">
        <v>960000003516311</v>
      </c>
      <c r="E463" s="1">
        <f t="shared" si="7"/>
        <v>44957</v>
      </c>
      <c r="F463" s="51">
        <v>44957.318171296298</v>
      </c>
      <c r="G463" s="51">
        <v>44957.321226851898</v>
      </c>
      <c r="H463" s="52">
        <v>2.9976851851850001E-3</v>
      </c>
      <c r="I463">
        <v>7.6361112594604492</v>
      </c>
      <c r="J463">
        <v>6613.71003149023</v>
      </c>
      <c r="K463">
        <v>149.990920422394</v>
      </c>
    </row>
    <row r="464" spans="1:11" x14ac:dyDescent="0.25">
      <c r="A464" t="s">
        <v>0</v>
      </c>
      <c r="B464">
        <f>VLOOKUP(C464,'[2]Ensaio 1'!$A$2:$F$28,6,FALSE)</f>
        <v>2</v>
      </c>
      <c r="C464" s="36">
        <v>960000003688457</v>
      </c>
      <c r="D464" s="36">
        <v>960000003688457</v>
      </c>
      <c r="E464" s="1">
        <f t="shared" si="7"/>
        <v>44957</v>
      </c>
      <c r="F464" s="51">
        <v>44957.380729166704</v>
      </c>
      <c r="G464" s="51">
        <v>44957.383009259298</v>
      </c>
      <c r="H464" s="52">
        <v>2.233796296296E-3</v>
      </c>
      <c r="I464">
        <v>9.1374998092651367</v>
      </c>
      <c r="J464">
        <v>7707.8047145401397</v>
      </c>
      <c r="K464">
        <v>182.03046205899599</v>
      </c>
    </row>
    <row r="465" spans="1:11" x14ac:dyDescent="0.25">
      <c r="A465" t="s">
        <v>0</v>
      </c>
      <c r="B465">
        <f>VLOOKUP(C465,'[2]Ensaio 1'!$A$2:$F$28,6,FALSE)</f>
        <v>2</v>
      </c>
      <c r="C465" s="36">
        <v>900248002084301</v>
      </c>
      <c r="D465" s="36">
        <v>900248002084301</v>
      </c>
      <c r="E465" s="1">
        <f t="shared" si="7"/>
        <v>44957</v>
      </c>
      <c r="F465" s="51">
        <v>44957.389490740701</v>
      </c>
      <c r="G465" s="51">
        <v>44957.391574074099</v>
      </c>
      <c r="H465" s="52">
        <v>1.9675925925930001E-3</v>
      </c>
      <c r="I465">
        <v>9.3477773666381836</v>
      </c>
      <c r="J465">
        <v>8605.7840359745805</v>
      </c>
      <c r="K465">
        <v>209.839893685166</v>
      </c>
    </row>
    <row r="466" spans="1:11" x14ac:dyDescent="0.25">
      <c r="A466" t="s">
        <v>0</v>
      </c>
      <c r="B466">
        <f>VLOOKUP(C466,'[2]Ensaio 1'!$A$2:$F$28,6,FALSE)</f>
        <v>2</v>
      </c>
      <c r="C466" s="36">
        <v>900248002085907</v>
      </c>
      <c r="D466" s="36">
        <v>900248002085907</v>
      </c>
      <c r="E466" s="1">
        <f t="shared" si="7"/>
        <v>44957</v>
      </c>
      <c r="F466" s="51">
        <v>44957.5167476852</v>
      </c>
      <c r="G466" s="51">
        <v>44957.520104166702</v>
      </c>
      <c r="H466" s="52">
        <v>3.3101851851849999E-3</v>
      </c>
      <c r="I466">
        <v>12.401944160461426</v>
      </c>
      <c r="J466">
        <v>9720.1719384615408</v>
      </c>
      <c r="K466">
        <v>239.78230123515399</v>
      </c>
    </row>
    <row r="467" spans="1:11" x14ac:dyDescent="0.25">
      <c r="A467" t="s">
        <v>0</v>
      </c>
      <c r="B467">
        <f>VLOOKUP(C467,'[2]Ensaio 1'!$A$2:$F$28,6,FALSE)</f>
        <v>2</v>
      </c>
      <c r="C467" s="36">
        <v>900248002084301</v>
      </c>
      <c r="D467" s="36">
        <v>900248002084301</v>
      </c>
      <c r="E467" s="1">
        <f t="shared" si="7"/>
        <v>44957</v>
      </c>
      <c r="F467" s="51">
        <v>44957.527129629598</v>
      </c>
      <c r="G467" s="51">
        <v>44957.530601851897</v>
      </c>
      <c r="H467" s="52">
        <v>3.3680555555560001E-3</v>
      </c>
      <c r="I467">
        <v>12.651110649108887</v>
      </c>
      <c r="J467">
        <v>9767.4524129272595</v>
      </c>
      <c r="K467">
        <v>246.704007368888</v>
      </c>
    </row>
    <row r="468" spans="1:11" x14ac:dyDescent="0.25">
      <c r="A468" t="s">
        <v>0</v>
      </c>
      <c r="B468">
        <f>VLOOKUP(C468,'[2]Ensaio 1'!$A$2:$F$28,6,FALSE)</f>
        <v>2</v>
      </c>
      <c r="C468" s="36">
        <v>960000003827747</v>
      </c>
      <c r="D468" s="36">
        <v>960000003827747</v>
      </c>
      <c r="E468" s="1">
        <f t="shared" si="7"/>
        <v>44957</v>
      </c>
      <c r="F468" s="51">
        <v>44957.535138888903</v>
      </c>
      <c r="G468" s="51">
        <v>44957.539189814801</v>
      </c>
      <c r="H468" s="52">
        <v>3.171296296296E-3</v>
      </c>
      <c r="I468">
        <v>12.84333324432373</v>
      </c>
      <c r="J468">
        <v>9013.7007439439203</v>
      </c>
      <c r="K468">
        <v>169.68672925247699</v>
      </c>
    </row>
    <row r="469" spans="1:11" x14ac:dyDescent="0.25">
      <c r="A469" t="s">
        <v>0</v>
      </c>
      <c r="B469">
        <f>VLOOKUP(C469,'[2]Ensaio 1'!$A$2:$F$28,6,FALSE)</f>
        <v>2</v>
      </c>
      <c r="C469" s="36">
        <v>960000003516311</v>
      </c>
      <c r="D469" s="36">
        <v>960000003516311</v>
      </c>
      <c r="E469" s="1">
        <f t="shared" si="7"/>
        <v>44957</v>
      </c>
      <c r="F469" s="51">
        <v>44957.541273148097</v>
      </c>
      <c r="G469" s="51">
        <v>44957.545069444401</v>
      </c>
      <c r="H469" s="52">
        <v>3.668981481481E-3</v>
      </c>
      <c r="I469">
        <v>12.990555763244629</v>
      </c>
      <c r="J469">
        <v>7782.4197892457096</v>
      </c>
      <c r="K469">
        <v>143.009537946915</v>
      </c>
    </row>
    <row r="470" spans="1:11" x14ac:dyDescent="0.25">
      <c r="A470" t="s">
        <v>0</v>
      </c>
      <c r="B470">
        <f>VLOOKUP(C470,'[2]Ensaio 1'!$A$2:$F$28,6,FALSE)</f>
        <v>2</v>
      </c>
      <c r="C470" s="36">
        <v>960000003688457</v>
      </c>
      <c r="D470" s="36">
        <v>960000003688457</v>
      </c>
      <c r="E470" s="1">
        <f t="shared" si="7"/>
        <v>44957</v>
      </c>
      <c r="F470" s="51">
        <v>44957.547476851898</v>
      </c>
      <c r="G470" s="51">
        <v>44957.548981481501</v>
      </c>
      <c r="H470" s="52">
        <v>1.4467592592590001E-3</v>
      </c>
      <c r="I470">
        <v>13.139444351196289</v>
      </c>
      <c r="J470">
        <v>6746.6516324991098</v>
      </c>
      <c r="K470">
        <v>176.13441956017101</v>
      </c>
    </row>
    <row r="471" spans="1:11" x14ac:dyDescent="0.25">
      <c r="A471" t="s">
        <v>0</v>
      </c>
      <c r="B471">
        <f>VLOOKUP(C471,'[2]Ensaio 1'!$A$2:$F$28,6,FALSE)</f>
        <v>2</v>
      </c>
      <c r="C471" s="36">
        <v>900248002084301</v>
      </c>
      <c r="D471" s="36">
        <v>900248002084301</v>
      </c>
      <c r="E471" s="1">
        <f t="shared" si="7"/>
        <v>44957</v>
      </c>
      <c r="F471" s="51">
        <v>44957.673252314802</v>
      </c>
      <c r="G471" s="51">
        <v>44957.675092592603</v>
      </c>
      <c r="H471" s="52">
        <v>1.8287037037039999E-3</v>
      </c>
      <c r="I471">
        <v>16.158056259155273</v>
      </c>
      <c r="J471">
        <v>7283.9370734979002</v>
      </c>
      <c r="K471">
        <v>135.75745778519499</v>
      </c>
    </row>
    <row r="472" spans="1:11" x14ac:dyDescent="0.25">
      <c r="A472" t="s">
        <v>0</v>
      </c>
      <c r="B472">
        <f>VLOOKUP(C472,'[2]Ensaio 1'!$A$2:$F$28,6,FALSE)</f>
        <v>2</v>
      </c>
      <c r="C472" s="36">
        <v>960000003688457</v>
      </c>
      <c r="D472" s="36">
        <v>960000003688457</v>
      </c>
      <c r="E472" s="1">
        <f t="shared" si="7"/>
        <v>44957</v>
      </c>
      <c r="F472" s="51">
        <v>44957.675960648201</v>
      </c>
      <c r="G472" s="51">
        <v>44957.6795949074</v>
      </c>
      <c r="H472" s="52">
        <v>2.8240740740740002E-3</v>
      </c>
      <c r="I472">
        <v>16.223054885864258</v>
      </c>
      <c r="J472">
        <v>8732.6884910423796</v>
      </c>
      <c r="K472">
        <v>260.94309815635398</v>
      </c>
    </row>
    <row r="473" spans="1:11" x14ac:dyDescent="0.25">
      <c r="A473" t="s">
        <v>0</v>
      </c>
      <c r="B473">
        <f>VLOOKUP(C473,'[2]Ensaio 1'!$A$2:$F$28,6,FALSE)</f>
        <v>2</v>
      </c>
      <c r="C473" s="36">
        <v>900248002085907</v>
      </c>
      <c r="D473" s="36">
        <v>900248002085907</v>
      </c>
      <c r="E473" s="1">
        <f t="shared" si="7"/>
        <v>44957</v>
      </c>
      <c r="F473" s="51">
        <v>44957.731898148202</v>
      </c>
      <c r="G473" s="51">
        <v>44957.7339699074</v>
      </c>
      <c r="H473" s="52">
        <v>1.6666666666670001E-3</v>
      </c>
      <c r="I473">
        <v>17.565555572509766</v>
      </c>
      <c r="J473">
        <v>10784.333075034099</v>
      </c>
      <c r="K473">
        <v>201.47802332970099</v>
      </c>
    </row>
    <row r="474" spans="1:11" x14ac:dyDescent="0.25">
      <c r="A474" t="s">
        <v>0</v>
      </c>
      <c r="B474">
        <f>VLOOKUP(C474,'[2]Ensaio 1'!$A$2:$F$28,6,FALSE)</f>
        <v>2</v>
      </c>
      <c r="C474" s="36">
        <v>960000003827747</v>
      </c>
      <c r="D474" s="36">
        <v>960000003827747</v>
      </c>
      <c r="E474" s="1">
        <f t="shared" si="7"/>
        <v>44957</v>
      </c>
      <c r="F474" s="51">
        <v>44957.760231481501</v>
      </c>
      <c r="G474" s="51">
        <v>44957.771597222199</v>
      </c>
      <c r="H474" s="52">
        <v>3.1018518518520001E-3</v>
      </c>
      <c r="I474">
        <v>18.245555877685547</v>
      </c>
      <c r="J474">
        <v>9778.3937491959405</v>
      </c>
      <c r="K474">
        <v>217.94846204434401</v>
      </c>
    </row>
    <row r="475" spans="1:11" x14ac:dyDescent="0.25">
      <c r="A475" t="s">
        <v>0</v>
      </c>
      <c r="B475">
        <f>VLOOKUP(C475,'[2]Ensaio 1'!$A$2:$F$28,6,FALSE)</f>
        <v>2</v>
      </c>
      <c r="C475" s="36">
        <v>960000003516311</v>
      </c>
      <c r="D475" s="36">
        <v>960000003516311</v>
      </c>
      <c r="E475" s="1">
        <f t="shared" si="7"/>
        <v>44957</v>
      </c>
      <c r="F475" s="51">
        <v>44957.775798611103</v>
      </c>
      <c r="G475" s="51">
        <v>44957.7789583333</v>
      </c>
      <c r="H475" s="52">
        <v>3.1018518518520001E-3</v>
      </c>
      <c r="I475">
        <v>18.619167327880859</v>
      </c>
      <c r="J475">
        <v>9129.0921687241098</v>
      </c>
      <c r="K475">
        <v>226.867094459795</v>
      </c>
    </row>
    <row r="476" spans="1:11" x14ac:dyDescent="0.25">
      <c r="A476" t="s">
        <v>0</v>
      </c>
      <c r="B476">
        <f>VLOOKUP(C476,'[2]Ensaio 1'!$A$2:$F$28,6,FALSE)</f>
        <v>2</v>
      </c>
      <c r="C476" s="36">
        <v>900248002084301</v>
      </c>
      <c r="D476" s="36">
        <v>900248002084301</v>
      </c>
      <c r="E476" s="1">
        <f t="shared" si="7"/>
        <v>44957</v>
      </c>
      <c r="F476" s="51">
        <v>44957.782766203702</v>
      </c>
      <c r="G476" s="51">
        <v>44957.786261574103</v>
      </c>
      <c r="H476" s="52">
        <v>3.4143518518519999E-3</v>
      </c>
      <c r="I476">
        <v>18.786388397216797</v>
      </c>
      <c r="J476">
        <v>9836.4179422367706</v>
      </c>
      <c r="K476">
        <v>323.515860239858</v>
      </c>
    </row>
    <row r="477" spans="1:11" x14ac:dyDescent="0.25">
      <c r="A477" t="s">
        <v>0</v>
      </c>
      <c r="B477">
        <f>VLOOKUP(C477,'[2]Ensaio 1'!$A$2:$F$28,6,FALSE)</f>
        <v>2</v>
      </c>
      <c r="C477" s="36">
        <v>960000003688457</v>
      </c>
      <c r="D477" s="36">
        <v>960000003688457</v>
      </c>
      <c r="E477" s="1">
        <f t="shared" si="7"/>
        <v>44957</v>
      </c>
      <c r="F477" s="51">
        <v>44957.950347222199</v>
      </c>
      <c r="G477" s="51">
        <v>44957.953773148103</v>
      </c>
      <c r="H477" s="52">
        <v>3.2870370370369998E-3</v>
      </c>
      <c r="I477">
        <v>22.808332443237305</v>
      </c>
      <c r="J477">
        <v>9132.0535730497195</v>
      </c>
      <c r="K477">
        <v>261.38926436677798</v>
      </c>
    </row>
    <row r="478" spans="1:11" x14ac:dyDescent="0.25">
      <c r="A478" t="s">
        <v>0</v>
      </c>
      <c r="B478">
        <f>VLOOKUP(C478,'[2]Ensaio 1'!$A$2:$F$28,6,FALSE)</f>
        <v>2</v>
      </c>
      <c r="C478" s="36">
        <v>900248002084301</v>
      </c>
      <c r="D478" s="36">
        <v>900248002084301</v>
      </c>
      <c r="E478" s="1">
        <f t="shared" si="7"/>
        <v>44958</v>
      </c>
      <c r="F478" s="51">
        <v>44958.068263888897</v>
      </c>
      <c r="G478" s="51">
        <v>44958.071701388901</v>
      </c>
      <c r="H478" s="52">
        <v>3.3449074074069999E-3</v>
      </c>
      <c r="I478">
        <v>1.638333320617676</v>
      </c>
      <c r="J478">
        <v>10857.643745867001</v>
      </c>
      <c r="K478">
        <v>230.036880306874</v>
      </c>
    </row>
    <row r="479" spans="1:11" x14ac:dyDescent="0.25">
      <c r="A479" t="s">
        <v>0</v>
      </c>
      <c r="B479">
        <f>VLOOKUP(C479,'[2]Ensaio 1'!$A$2:$F$28,6,FALSE)</f>
        <v>2</v>
      </c>
      <c r="C479" s="36">
        <v>960000003516311</v>
      </c>
      <c r="D479" s="36">
        <v>960000003516311</v>
      </c>
      <c r="E479" s="1">
        <f t="shared" si="7"/>
        <v>44958</v>
      </c>
      <c r="F479" s="51">
        <v>44958.077511574098</v>
      </c>
      <c r="G479" s="51">
        <v>44958.081111111103</v>
      </c>
      <c r="H479" s="52">
        <v>3.541666666667E-3</v>
      </c>
      <c r="I479">
        <v>1.8602777719497681</v>
      </c>
      <c r="J479">
        <v>8246.2774505740308</v>
      </c>
      <c r="K479">
        <v>156.546906293185</v>
      </c>
    </row>
    <row r="480" spans="1:11" x14ac:dyDescent="0.25">
      <c r="A480" t="s">
        <v>0</v>
      </c>
      <c r="B480">
        <f>VLOOKUP(C480,'[2]Ensaio 1'!$A$2:$F$28,6,FALSE)</f>
        <v>2</v>
      </c>
      <c r="C480" s="36">
        <v>960000003688457</v>
      </c>
      <c r="D480" s="36">
        <v>960000003688457</v>
      </c>
      <c r="E480" s="1">
        <f t="shared" si="7"/>
        <v>44958</v>
      </c>
      <c r="F480" s="51">
        <v>44958.085868055598</v>
      </c>
      <c r="G480" s="51">
        <v>44958.088298611103</v>
      </c>
      <c r="H480" s="52">
        <v>2.372685185185E-3</v>
      </c>
      <c r="I480">
        <v>2.060833215713501</v>
      </c>
      <c r="J480">
        <v>8736.6973026959095</v>
      </c>
      <c r="K480">
        <v>228.834163595993</v>
      </c>
    </row>
    <row r="481" spans="1:11" x14ac:dyDescent="0.25">
      <c r="A481" t="s">
        <v>0</v>
      </c>
      <c r="B481">
        <f>VLOOKUP(C481,'[2]Ensaio 1'!$A$2:$F$28,6,FALSE)</f>
        <v>2</v>
      </c>
      <c r="C481" s="36">
        <v>960000003827747</v>
      </c>
      <c r="D481" s="36">
        <v>960000003827747</v>
      </c>
      <c r="E481" s="1">
        <f t="shared" si="7"/>
        <v>44958</v>
      </c>
      <c r="F481" s="51">
        <v>44958.191331018497</v>
      </c>
      <c r="G481" s="51">
        <v>44958.1951736111</v>
      </c>
      <c r="H481" s="52">
        <v>3.7962962962960001E-3</v>
      </c>
      <c r="I481">
        <v>4.5919442176818848</v>
      </c>
      <c r="J481">
        <v>9052.1363032074205</v>
      </c>
      <c r="K481">
        <v>183.682280944821</v>
      </c>
    </row>
    <row r="482" spans="1:11" x14ac:dyDescent="0.25">
      <c r="A482" t="s">
        <v>0</v>
      </c>
      <c r="B482">
        <f>VLOOKUP(C482,'[2]Ensaio 1'!$A$2:$F$28,6,FALSE)</f>
        <v>2</v>
      </c>
      <c r="C482" s="36">
        <v>900248002084301</v>
      </c>
      <c r="D482" s="36">
        <v>900248002084301</v>
      </c>
      <c r="E482" s="1">
        <f t="shared" si="7"/>
        <v>44958</v>
      </c>
      <c r="F482" s="51">
        <v>44958.2055092593</v>
      </c>
      <c r="G482" s="51">
        <v>44958.2082407407</v>
      </c>
      <c r="H482" s="52">
        <v>1.7476851851850001E-3</v>
      </c>
      <c r="I482">
        <v>4.9322223663330078</v>
      </c>
      <c r="J482">
        <v>8268.7051679980195</v>
      </c>
      <c r="K482">
        <v>189.65220892332701</v>
      </c>
    </row>
    <row r="483" spans="1:11" x14ac:dyDescent="0.25">
      <c r="A483" t="s">
        <v>0</v>
      </c>
      <c r="B483">
        <f>VLOOKUP(C483,'[2]Ensaio 1'!$A$2:$F$28,6,FALSE)</f>
        <v>2</v>
      </c>
      <c r="C483" s="36">
        <v>960000003516311</v>
      </c>
      <c r="D483" s="36">
        <v>960000003516311</v>
      </c>
      <c r="E483" s="1">
        <f t="shared" si="7"/>
        <v>44958</v>
      </c>
      <c r="F483" s="51">
        <v>44958.313518518502</v>
      </c>
      <c r="G483" s="51">
        <v>44958.317037036999</v>
      </c>
      <c r="H483" s="52">
        <v>3.4606481481480001E-3</v>
      </c>
      <c r="I483">
        <v>7.524444580078125</v>
      </c>
      <c r="J483">
        <v>8714.1585114912905</v>
      </c>
      <c r="K483">
        <v>177.38850922742299</v>
      </c>
    </row>
    <row r="484" spans="1:11" x14ac:dyDescent="0.25">
      <c r="A484" t="s">
        <v>0</v>
      </c>
      <c r="B484">
        <f>VLOOKUP(C484,'[2]Ensaio 1'!$A$2:$F$28,6,FALSE)</f>
        <v>2</v>
      </c>
      <c r="C484" s="36">
        <v>900248002084301</v>
      </c>
      <c r="D484" s="36">
        <v>900248002084301</v>
      </c>
      <c r="E484" s="1">
        <f t="shared" si="7"/>
        <v>44958</v>
      </c>
      <c r="F484" s="51">
        <v>44958.318275463003</v>
      </c>
      <c r="G484" s="51">
        <v>44958.321724537003</v>
      </c>
      <c r="H484" s="52">
        <v>2.8819444444439998E-3</v>
      </c>
      <c r="I484">
        <v>7.6386113166809082</v>
      </c>
      <c r="J484">
        <v>9931.0331654866604</v>
      </c>
      <c r="K484">
        <v>162.52892263292199</v>
      </c>
    </row>
    <row r="485" spans="1:11" x14ac:dyDescent="0.25">
      <c r="A485" t="s">
        <v>0</v>
      </c>
      <c r="B485">
        <f>VLOOKUP(C485,'[2]Ensaio 1'!$A$2:$F$28,6,FALSE)</f>
        <v>2</v>
      </c>
      <c r="C485" s="36">
        <v>900248002085907</v>
      </c>
      <c r="D485" s="36">
        <v>900248002085907</v>
      </c>
      <c r="E485" s="1">
        <f t="shared" si="7"/>
        <v>44958</v>
      </c>
      <c r="F485" s="51">
        <v>44958.322627314803</v>
      </c>
      <c r="G485" s="51">
        <v>44958.325960648202</v>
      </c>
      <c r="H485" s="52">
        <v>3.275462962963E-3</v>
      </c>
      <c r="I485">
        <v>7.7430553436279297</v>
      </c>
      <c r="J485">
        <v>10361.5399813233</v>
      </c>
      <c r="K485">
        <v>232.206104407634</v>
      </c>
    </row>
    <row r="486" spans="1:11" x14ac:dyDescent="0.25">
      <c r="A486" t="s">
        <v>0</v>
      </c>
      <c r="B486">
        <f>VLOOKUP(C486,'[2]Ensaio 1'!$A$2:$F$28,6,FALSE)</f>
        <v>2</v>
      </c>
      <c r="C486" s="36">
        <v>960000003827747</v>
      </c>
      <c r="D486" s="36">
        <v>960000003827747</v>
      </c>
      <c r="E486" s="1">
        <f t="shared" si="7"/>
        <v>44958</v>
      </c>
      <c r="F486" s="51">
        <v>44958.414409722202</v>
      </c>
      <c r="G486" s="51">
        <v>44958.418009259301</v>
      </c>
      <c r="H486" s="52">
        <v>2.7777777777779999E-3</v>
      </c>
      <c r="I486">
        <v>9.9458332061767578</v>
      </c>
      <c r="J486">
        <v>7897.3959987285898</v>
      </c>
      <c r="K486">
        <v>142.72475655562101</v>
      </c>
    </row>
    <row r="487" spans="1:11" x14ac:dyDescent="0.25">
      <c r="A487" t="s">
        <v>0</v>
      </c>
      <c r="B487">
        <f>VLOOKUP(C487,'[2]Ensaio 1'!$A$2:$F$28,6,FALSE)</f>
        <v>2</v>
      </c>
      <c r="C487" s="36">
        <v>960000003688457</v>
      </c>
      <c r="D487" s="36">
        <v>960000003688457</v>
      </c>
      <c r="E487" s="1">
        <f t="shared" si="7"/>
        <v>44958</v>
      </c>
      <c r="F487" s="51">
        <v>44958.418472222198</v>
      </c>
      <c r="G487" s="51">
        <v>44958.421805555598</v>
      </c>
      <c r="H487" s="52">
        <v>3.2638888888890001E-3</v>
      </c>
      <c r="I487">
        <v>10.043333053588867</v>
      </c>
      <c r="J487">
        <v>7611.4165722876196</v>
      </c>
      <c r="K487">
        <v>217.05833217306599</v>
      </c>
    </row>
    <row r="488" spans="1:11" x14ac:dyDescent="0.25">
      <c r="A488" t="s">
        <v>0</v>
      </c>
      <c r="B488">
        <f>VLOOKUP(C488,'[2]Ensaio 1'!$A$2:$F$28,6,FALSE)</f>
        <v>2</v>
      </c>
      <c r="C488" s="36">
        <v>960000003516311</v>
      </c>
      <c r="D488" s="36">
        <v>960000003516311</v>
      </c>
      <c r="E488" s="1">
        <f t="shared" si="7"/>
        <v>44958</v>
      </c>
      <c r="F488" s="51">
        <v>44958.5613773148</v>
      </c>
      <c r="G488" s="51">
        <v>44958.5652430556</v>
      </c>
      <c r="H488" s="52">
        <v>3.240740740741E-3</v>
      </c>
      <c r="I488">
        <v>13.473055839538574</v>
      </c>
      <c r="J488">
        <v>7217.1361313309599</v>
      </c>
      <c r="K488">
        <v>174.702056884044</v>
      </c>
    </row>
    <row r="489" spans="1:11" x14ac:dyDescent="0.25">
      <c r="A489" t="s">
        <v>0</v>
      </c>
      <c r="B489">
        <f>VLOOKUP(C489,'[2]Ensaio 1'!$A$2:$F$28,6,FALSE)</f>
        <v>2</v>
      </c>
      <c r="C489" s="36">
        <v>900248002084301</v>
      </c>
      <c r="D489" s="36">
        <v>900248002084301</v>
      </c>
      <c r="E489" s="1">
        <f t="shared" si="7"/>
        <v>44958</v>
      </c>
      <c r="F489" s="51">
        <v>44958.571817129603</v>
      </c>
      <c r="G489" s="51">
        <v>44958.575995370396</v>
      </c>
      <c r="H489" s="52">
        <v>3.773148148148E-3</v>
      </c>
      <c r="I489">
        <v>13.723610877990723</v>
      </c>
      <c r="J489">
        <v>9795.5023728217493</v>
      </c>
      <c r="K489">
        <v>299.57334075165699</v>
      </c>
    </row>
    <row r="490" spans="1:11" x14ac:dyDescent="0.25">
      <c r="A490" t="s">
        <v>0</v>
      </c>
      <c r="B490">
        <f>VLOOKUP(C490,'[2]Ensaio 1'!$A$2:$F$28,6,FALSE)</f>
        <v>2</v>
      </c>
      <c r="C490" s="36">
        <v>900248002085907</v>
      </c>
      <c r="D490" s="36">
        <v>900248002085907</v>
      </c>
      <c r="E490" s="1">
        <f t="shared" si="7"/>
        <v>44958</v>
      </c>
      <c r="F490" s="51">
        <v>44958.580740740697</v>
      </c>
      <c r="G490" s="51">
        <v>44958.583981481497</v>
      </c>
      <c r="H490" s="52">
        <v>3.1944444444440001E-3</v>
      </c>
      <c r="I490">
        <v>13.937777519226074</v>
      </c>
      <c r="J490">
        <v>9042.7504309357391</v>
      </c>
      <c r="K490">
        <v>194.31286117990501</v>
      </c>
    </row>
    <row r="491" spans="1:11" x14ac:dyDescent="0.25">
      <c r="A491" t="s">
        <v>0</v>
      </c>
      <c r="B491">
        <f>VLOOKUP(C491,'[2]Ensaio 1'!$A$2:$F$28,6,FALSE)</f>
        <v>2</v>
      </c>
      <c r="C491" s="36">
        <v>960000003827747</v>
      </c>
      <c r="D491" s="36">
        <v>960000003827747</v>
      </c>
      <c r="E491" s="1">
        <f t="shared" si="7"/>
        <v>44958</v>
      </c>
      <c r="F491" s="51">
        <v>44958.660486111097</v>
      </c>
      <c r="G491" s="51">
        <v>44958.664895833303</v>
      </c>
      <c r="H491" s="52">
        <v>2.7083333333329999E-3</v>
      </c>
      <c r="I491">
        <v>15.851666450500488</v>
      </c>
      <c r="J491">
        <v>7824.35160471585</v>
      </c>
      <c r="K491">
        <v>157.719061961759</v>
      </c>
    </row>
    <row r="492" spans="1:11" x14ac:dyDescent="0.25">
      <c r="A492" t="s">
        <v>0</v>
      </c>
      <c r="B492">
        <f>VLOOKUP(C492,'[2]Ensaio 1'!$A$2:$F$28,6,FALSE)</f>
        <v>2</v>
      </c>
      <c r="C492" s="36">
        <v>960000003688457</v>
      </c>
      <c r="D492" s="36">
        <v>960000003688457</v>
      </c>
      <c r="E492" s="1">
        <f t="shared" si="7"/>
        <v>44958</v>
      </c>
      <c r="F492" s="51">
        <v>44958.666273148097</v>
      </c>
      <c r="G492" s="51">
        <v>44958.669201388897</v>
      </c>
      <c r="H492" s="52">
        <v>2.8124999999999999E-3</v>
      </c>
      <c r="I492">
        <v>15.990555763244629</v>
      </c>
      <c r="J492">
        <v>7595.6937401901996</v>
      </c>
      <c r="K492">
        <v>176.065910979546</v>
      </c>
    </row>
    <row r="493" spans="1:11" x14ac:dyDescent="0.25">
      <c r="A493" t="s">
        <v>0</v>
      </c>
      <c r="B493">
        <f>VLOOKUP(C493,'[2]Ensaio 1'!$A$2:$F$28,6,FALSE)</f>
        <v>2</v>
      </c>
      <c r="C493" s="36">
        <v>900248002084301</v>
      </c>
      <c r="D493" s="36">
        <v>900248002084301</v>
      </c>
      <c r="E493" s="1">
        <f t="shared" si="7"/>
        <v>44958</v>
      </c>
      <c r="F493" s="51">
        <v>44958.783344907402</v>
      </c>
      <c r="G493" s="51">
        <v>44958.786412037</v>
      </c>
      <c r="H493" s="52">
        <v>2.939814814815E-3</v>
      </c>
      <c r="I493">
        <v>18.800277709960938</v>
      </c>
      <c r="J493">
        <v>12225.421126019901</v>
      </c>
      <c r="K493">
        <v>298.49871941421901</v>
      </c>
    </row>
    <row r="494" spans="1:11" x14ac:dyDescent="0.25">
      <c r="A494" t="s">
        <v>0</v>
      </c>
      <c r="B494">
        <f>VLOOKUP(C494,'[2]Ensaio 1'!$A$2:$F$28,6,FALSE)</f>
        <v>2</v>
      </c>
      <c r="C494" s="36">
        <v>960000003516311</v>
      </c>
      <c r="D494" s="36">
        <v>960000003516311</v>
      </c>
      <c r="E494" s="1">
        <f t="shared" si="7"/>
        <v>44958</v>
      </c>
      <c r="F494" s="51">
        <v>44958.799733796302</v>
      </c>
      <c r="G494" s="51">
        <v>44958.8028009259</v>
      </c>
      <c r="H494" s="52">
        <v>2.8124999999999999E-3</v>
      </c>
      <c r="I494">
        <v>19.193611145019531</v>
      </c>
      <c r="J494">
        <v>7586.6696612948199</v>
      </c>
      <c r="K494">
        <v>190.18058270518699</v>
      </c>
    </row>
    <row r="495" spans="1:11" x14ac:dyDescent="0.25">
      <c r="A495" t="s">
        <v>0</v>
      </c>
      <c r="B495">
        <f>VLOOKUP(C495,'[2]Ensaio 1'!$A$2:$F$28,6,FALSE)</f>
        <v>2</v>
      </c>
      <c r="C495" s="36">
        <v>900248002085907</v>
      </c>
      <c r="D495" s="36">
        <v>900248002085907</v>
      </c>
      <c r="E495" s="1">
        <f t="shared" si="7"/>
        <v>44958</v>
      </c>
      <c r="F495" s="51">
        <v>44958.808333333298</v>
      </c>
      <c r="G495" s="51">
        <v>44958.811747685198</v>
      </c>
      <c r="H495" s="52">
        <v>3.3680555555560001E-3</v>
      </c>
      <c r="I495">
        <v>19.399999618530273</v>
      </c>
      <c r="J495">
        <v>9015.5211069988909</v>
      </c>
      <c r="K495">
        <v>251.765075882698</v>
      </c>
    </row>
    <row r="496" spans="1:11" x14ac:dyDescent="0.25">
      <c r="A496" t="s">
        <v>0</v>
      </c>
      <c r="B496">
        <f>VLOOKUP(C496,'[2]Ensaio 1'!$A$2:$F$28,6,FALSE)</f>
        <v>2</v>
      </c>
      <c r="C496" s="36">
        <v>960000003827747</v>
      </c>
      <c r="D496" s="36">
        <v>960000003827747</v>
      </c>
      <c r="E496" s="1">
        <f t="shared" si="7"/>
        <v>44958</v>
      </c>
      <c r="F496" s="51">
        <v>44958.920150462996</v>
      </c>
      <c r="G496" s="51">
        <v>44958.924965277802</v>
      </c>
      <c r="H496" s="52">
        <v>3.80787037037E-3</v>
      </c>
      <c r="I496">
        <v>22.083610534667969</v>
      </c>
      <c r="J496">
        <v>7927.5509148761803</v>
      </c>
      <c r="K496">
        <v>170.78254526318</v>
      </c>
    </row>
    <row r="497" spans="1:11" x14ac:dyDescent="0.25">
      <c r="A497" t="s">
        <v>0</v>
      </c>
      <c r="B497">
        <f>VLOOKUP(C497,'[2]Ensaio 1'!$A$2:$F$28,6,FALSE)</f>
        <v>2</v>
      </c>
      <c r="C497" s="36">
        <v>960000003688457</v>
      </c>
      <c r="D497" s="36">
        <v>960000003688457</v>
      </c>
      <c r="E497" s="1">
        <f t="shared" si="7"/>
        <v>44958</v>
      </c>
      <c r="F497" s="51">
        <v>44958.925532407397</v>
      </c>
      <c r="G497" s="51">
        <v>44958.928981481498</v>
      </c>
      <c r="H497" s="52">
        <v>3.2523148148149998E-3</v>
      </c>
      <c r="I497">
        <v>22.212778091430664</v>
      </c>
      <c r="J497">
        <v>7891.1800091899204</v>
      </c>
      <c r="K497">
        <v>212.345667852405</v>
      </c>
    </row>
    <row r="498" spans="1:11" x14ac:dyDescent="0.25">
      <c r="A498" t="s">
        <v>0</v>
      </c>
      <c r="B498">
        <f>VLOOKUP(C498,'[2]Ensaio 1'!$A$2:$F$28,6,FALSE)</f>
        <v>2</v>
      </c>
      <c r="C498" s="36">
        <v>900248002085907</v>
      </c>
      <c r="D498" s="36">
        <v>900248002085907</v>
      </c>
      <c r="E498" s="1">
        <f t="shared" si="7"/>
        <v>44959</v>
      </c>
      <c r="F498" s="51">
        <v>44959.019733796304</v>
      </c>
      <c r="G498" s="51">
        <v>44959.022708333301</v>
      </c>
      <c r="H498" s="52">
        <v>2.905092592593E-3</v>
      </c>
      <c r="I498">
        <v>0.47361111640930198</v>
      </c>
      <c r="J498">
        <v>8946.2347525975092</v>
      </c>
      <c r="K498">
        <v>220.15077466328199</v>
      </c>
    </row>
    <row r="499" spans="1:11" x14ac:dyDescent="0.25">
      <c r="A499" t="s">
        <v>0</v>
      </c>
      <c r="B499">
        <f>VLOOKUP(C499,'[2]Ensaio 1'!$A$2:$F$28,6,FALSE)</f>
        <v>2</v>
      </c>
      <c r="C499" s="36">
        <v>900248002084301</v>
      </c>
      <c r="D499" s="36">
        <v>900248002084301</v>
      </c>
      <c r="E499" s="1">
        <f t="shared" si="7"/>
        <v>44959</v>
      </c>
      <c r="F499" s="51">
        <v>44959.048240740703</v>
      </c>
      <c r="G499" s="51">
        <v>44959.051620370403</v>
      </c>
      <c r="H499" s="52">
        <v>3.333333333333E-3</v>
      </c>
      <c r="I499">
        <v>1.157777786254883</v>
      </c>
      <c r="J499">
        <v>9382.9451165059108</v>
      </c>
      <c r="K499">
        <v>210.62711159779499</v>
      </c>
    </row>
    <row r="500" spans="1:11" x14ac:dyDescent="0.25">
      <c r="A500" t="s">
        <v>0</v>
      </c>
      <c r="B500">
        <f>VLOOKUP(C500,'[2]Ensaio 1'!$A$2:$F$28,6,FALSE)</f>
        <v>2</v>
      </c>
      <c r="C500" s="36">
        <v>960000003516311</v>
      </c>
      <c r="D500" s="36">
        <v>960000003516311</v>
      </c>
      <c r="E500" s="1">
        <f t="shared" si="7"/>
        <v>44959</v>
      </c>
      <c r="F500" s="51">
        <v>44959.0541435185</v>
      </c>
      <c r="G500" s="51">
        <v>44959.0569328704</v>
      </c>
      <c r="H500" s="52">
        <v>2.303240740741E-3</v>
      </c>
      <c r="I500">
        <v>1.299444437026978</v>
      </c>
      <c r="J500">
        <v>9232.8394298231797</v>
      </c>
      <c r="K500">
        <v>256.71690697328597</v>
      </c>
    </row>
    <row r="501" spans="1:11" x14ac:dyDescent="0.25">
      <c r="A501" t="s">
        <v>0</v>
      </c>
      <c r="B501">
        <f>VLOOKUP(C501,'[2]Ensaio 1'!$A$2:$F$28,6,FALSE)</f>
        <v>2</v>
      </c>
      <c r="C501" s="36">
        <v>960000003688457</v>
      </c>
      <c r="D501" s="36">
        <v>960000003688457</v>
      </c>
      <c r="E501" s="1">
        <f t="shared" si="7"/>
        <v>44959</v>
      </c>
      <c r="F501" s="51">
        <v>44959.058391203696</v>
      </c>
      <c r="G501" s="51">
        <v>44959.062071759297</v>
      </c>
      <c r="H501" s="52">
        <v>3.5995370370370001E-3</v>
      </c>
      <c r="I501">
        <v>1.401388883590698</v>
      </c>
      <c r="J501">
        <v>7714.3609524127796</v>
      </c>
      <c r="K501">
        <v>188.474721020532</v>
      </c>
    </row>
    <row r="502" spans="1:11" x14ac:dyDescent="0.25">
      <c r="A502" t="s">
        <v>0</v>
      </c>
      <c r="B502">
        <f>VLOOKUP(C502,'[2]Ensaio 1'!$A$2:$F$28,6,FALSE)</f>
        <v>2</v>
      </c>
      <c r="C502" s="36">
        <v>960000003827747</v>
      </c>
      <c r="D502" s="36">
        <v>960000003827747</v>
      </c>
      <c r="E502" s="1">
        <f t="shared" si="7"/>
        <v>44959</v>
      </c>
      <c r="F502" s="51">
        <v>44959.069745370398</v>
      </c>
      <c r="G502" s="51">
        <v>44959.074699074103</v>
      </c>
      <c r="H502" s="52">
        <v>4.8263888888889998E-3</v>
      </c>
      <c r="I502">
        <v>1.6738889217376709</v>
      </c>
      <c r="J502">
        <v>7938.9975287880097</v>
      </c>
      <c r="K502">
        <v>192.42536940701601</v>
      </c>
    </row>
    <row r="503" spans="1:11" x14ac:dyDescent="0.25">
      <c r="A503" t="s">
        <v>0</v>
      </c>
      <c r="B503">
        <f>VLOOKUP(C503,'[2]Ensaio 1'!$A$2:$F$28,6,FALSE)</f>
        <v>2</v>
      </c>
      <c r="C503" s="36">
        <v>960000003688457</v>
      </c>
      <c r="D503" s="36">
        <v>960000003688457</v>
      </c>
      <c r="E503" s="1">
        <f t="shared" si="7"/>
        <v>44959</v>
      </c>
      <c r="F503" s="51">
        <v>44959.075671296298</v>
      </c>
      <c r="G503" s="51">
        <v>44959.078402777799</v>
      </c>
      <c r="H503" s="52">
        <v>2.6851851851849998E-3</v>
      </c>
      <c r="I503">
        <v>1.816111087799072</v>
      </c>
      <c r="J503">
        <v>7005.4644317594502</v>
      </c>
      <c r="K503">
        <v>153.64141392902999</v>
      </c>
    </row>
    <row r="504" spans="1:11" x14ac:dyDescent="0.25">
      <c r="A504" t="s">
        <v>0</v>
      </c>
      <c r="B504">
        <f>VLOOKUP(C504,'[2]Ensaio 1'!$A$2:$F$28,6,FALSE)</f>
        <v>2</v>
      </c>
      <c r="C504" s="36">
        <v>960000003516311</v>
      </c>
      <c r="D504" s="36">
        <v>960000003516311</v>
      </c>
      <c r="E504" s="1">
        <f t="shared" si="7"/>
        <v>44959</v>
      </c>
      <c r="F504" s="51">
        <v>44959.2815162037</v>
      </c>
      <c r="G504" s="51">
        <v>44959.284699074102</v>
      </c>
      <c r="H504" s="52">
        <v>3.136574074074E-3</v>
      </c>
      <c r="I504">
        <v>6.7563886642456046</v>
      </c>
      <c r="J504">
        <v>8374.3553308915707</v>
      </c>
      <c r="K504">
        <v>248.19831175244701</v>
      </c>
    </row>
    <row r="505" spans="1:11" x14ac:dyDescent="0.25">
      <c r="A505" t="s">
        <v>0</v>
      </c>
      <c r="B505">
        <f>VLOOKUP(C505,'[2]Ensaio 1'!$A$2:$F$28,6,FALSE)</f>
        <v>2</v>
      </c>
      <c r="C505" s="36">
        <v>900248002084301</v>
      </c>
      <c r="D505" s="36">
        <v>900248002084301</v>
      </c>
      <c r="E505" s="1">
        <f t="shared" si="7"/>
        <v>44959</v>
      </c>
      <c r="F505" s="51">
        <v>44959.286689814799</v>
      </c>
      <c r="G505" s="51">
        <v>44959.290092592601</v>
      </c>
      <c r="H505" s="52">
        <v>3.0439814814809999E-3</v>
      </c>
      <c r="I505">
        <v>6.8805556297302246</v>
      </c>
      <c r="J505">
        <v>10284.324905883401</v>
      </c>
      <c r="K505">
        <v>181.84430079832899</v>
      </c>
    </row>
    <row r="506" spans="1:11" x14ac:dyDescent="0.25">
      <c r="A506" t="s">
        <v>0</v>
      </c>
      <c r="B506">
        <f>VLOOKUP(C506,'[2]Ensaio 1'!$A$2:$F$28,6,FALSE)</f>
        <v>2</v>
      </c>
      <c r="C506" s="36">
        <v>900248002085907</v>
      </c>
      <c r="D506" s="36">
        <v>900248002085907</v>
      </c>
      <c r="E506" s="1">
        <f t="shared" si="7"/>
        <v>44959</v>
      </c>
      <c r="F506" s="51">
        <v>44959.290578703702</v>
      </c>
      <c r="G506" s="51">
        <v>44959.294872685197</v>
      </c>
      <c r="H506" s="52">
        <v>3.0671296296300001E-3</v>
      </c>
      <c r="I506">
        <v>6.9738888740539551</v>
      </c>
      <c r="J506">
        <v>9499.1699294817008</v>
      </c>
      <c r="K506">
        <v>193.98561216497399</v>
      </c>
    </row>
    <row r="507" spans="1:11" x14ac:dyDescent="0.25">
      <c r="A507" t="s">
        <v>0</v>
      </c>
      <c r="B507">
        <f>VLOOKUP(C507,'[2]Ensaio 1'!$A$2:$F$28,6,FALSE)</f>
        <v>2</v>
      </c>
      <c r="C507" s="36">
        <v>960000003688457</v>
      </c>
      <c r="D507" s="36">
        <v>960000003688457</v>
      </c>
      <c r="E507" s="1">
        <f t="shared" si="7"/>
        <v>44959</v>
      </c>
      <c r="F507" s="51">
        <v>44959.296284722201</v>
      </c>
      <c r="G507" s="51">
        <v>44959.2993055556</v>
      </c>
      <c r="H507" s="52">
        <v>2.9629629629630001E-3</v>
      </c>
      <c r="I507">
        <v>7.1108331680297852</v>
      </c>
      <c r="J507">
        <v>8478.7078669984403</v>
      </c>
      <c r="K507">
        <v>202.02751749669599</v>
      </c>
    </row>
    <row r="508" spans="1:11" x14ac:dyDescent="0.25">
      <c r="A508" t="s">
        <v>0</v>
      </c>
      <c r="B508">
        <f>VLOOKUP(C508,'[2]Ensaio 1'!$A$2:$F$28,6,FALSE)</f>
        <v>2</v>
      </c>
      <c r="C508" s="36">
        <v>960000003827747</v>
      </c>
      <c r="D508" s="36">
        <v>960000003827747</v>
      </c>
      <c r="E508" s="1">
        <f t="shared" si="7"/>
        <v>44959</v>
      </c>
      <c r="F508" s="51">
        <v>44959.323252314804</v>
      </c>
      <c r="G508" s="51">
        <v>44959.327013888898</v>
      </c>
      <c r="H508" s="52">
        <v>3.032407407407E-3</v>
      </c>
      <c r="I508">
        <v>7.7580556869506836</v>
      </c>
      <c r="J508">
        <v>6857.7739471871701</v>
      </c>
      <c r="K508">
        <v>168.10917990867</v>
      </c>
    </row>
    <row r="509" spans="1:11" x14ac:dyDescent="0.25">
      <c r="A509" t="s">
        <v>0</v>
      </c>
      <c r="B509">
        <f>VLOOKUP(C509,'[2]Ensaio 1'!$A$2:$F$28,6,FALSE)</f>
        <v>2</v>
      </c>
      <c r="C509" s="36">
        <v>900248002084301</v>
      </c>
      <c r="D509" s="36">
        <v>900248002084301</v>
      </c>
      <c r="E509" s="1">
        <f t="shared" si="7"/>
        <v>44959</v>
      </c>
      <c r="F509" s="51">
        <v>44959.505856481497</v>
      </c>
      <c r="G509" s="51">
        <v>44959.511747685203</v>
      </c>
      <c r="H509" s="52">
        <v>4.2824074074069999E-3</v>
      </c>
      <c r="I509">
        <v>12.140555381774902</v>
      </c>
      <c r="J509">
        <v>8234.7940870071907</v>
      </c>
      <c r="K509">
        <v>201.56452449265299</v>
      </c>
    </row>
    <row r="510" spans="1:11" x14ac:dyDescent="0.25">
      <c r="A510" t="s">
        <v>0</v>
      </c>
      <c r="B510">
        <f>VLOOKUP(C510,'[2]Ensaio 1'!$A$2:$F$28,6,FALSE)</f>
        <v>2</v>
      </c>
      <c r="C510" s="36">
        <v>960000003516311</v>
      </c>
      <c r="D510" s="36">
        <v>960000003516311</v>
      </c>
      <c r="E510" s="1">
        <f t="shared" si="7"/>
        <v>44959</v>
      </c>
      <c r="F510" s="51">
        <v>44959.511944444399</v>
      </c>
      <c r="G510" s="51">
        <v>44959.514988425901</v>
      </c>
      <c r="H510" s="52">
        <v>2.9976851851850001E-3</v>
      </c>
      <c r="I510">
        <v>12.286666870117188</v>
      </c>
      <c r="J510">
        <v>7695.3439316947397</v>
      </c>
      <c r="K510">
        <v>209.45761672734301</v>
      </c>
    </row>
    <row r="511" spans="1:11" x14ac:dyDescent="0.25">
      <c r="A511" t="s">
        <v>0</v>
      </c>
      <c r="B511">
        <f>VLOOKUP(C511,'[2]Ensaio 1'!$A$2:$F$28,6,FALSE)</f>
        <v>2</v>
      </c>
      <c r="C511" s="36">
        <v>900248002085907</v>
      </c>
      <c r="D511" s="36">
        <v>900248002085907</v>
      </c>
      <c r="E511" s="1">
        <f t="shared" si="7"/>
        <v>44959</v>
      </c>
      <c r="F511" s="51">
        <v>44959.520960648202</v>
      </c>
      <c r="G511" s="51">
        <v>44959.5239814815</v>
      </c>
      <c r="H511" s="52">
        <v>2.9629629629630001E-3</v>
      </c>
      <c r="I511">
        <v>12.503055572509766</v>
      </c>
      <c r="J511">
        <v>9161.5194680837394</v>
      </c>
      <c r="K511">
        <v>192.034093451052</v>
      </c>
    </row>
    <row r="512" spans="1:11" x14ac:dyDescent="0.25">
      <c r="A512" t="s">
        <v>0</v>
      </c>
      <c r="B512">
        <f>VLOOKUP(C512,'[2]Ensaio 1'!$A$2:$F$28,6,FALSE)</f>
        <v>2</v>
      </c>
      <c r="C512" s="36">
        <v>960000003827747</v>
      </c>
      <c r="D512" s="36">
        <v>960000003827747</v>
      </c>
      <c r="E512" s="1">
        <f t="shared" si="7"/>
        <v>44959</v>
      </c>
      <c r="F512" s="51">
        <v>44959.537337962996</v>
      </c>
      <c r="G512" s="51">
        <v>44959.5410416667</v>
      </c>
      <c r="H512" s="52">
        <v>3.1481481481479999E-3</v>
      </c>
      <c r="I512">
        <v>12.896111488342285</v>
      </c>
      <c r="J512">
        <v>8028.3125876632703</v>
      </c>
      <c r="K512">
        <v>197.160853080637</v>
      </c>
    </row>
    <row r="513" spans="1:11" x14ac:dyDescent="0.25">
      <c r="A513" t="s">
        <v>0</v>
      </c>
      <c r="B513">
        <f>VLOOKUP(C513,'[2]Ensaio 1'!$A$2:$F$28,6,FALSE)</f>
        <v>2</v>
      </c>
      <c r="C513" s="36">
        <v>960000003688457</v>
      </c>
      <c r="D513" s="36">
        <v>960000003688457</v>
      </c>
      <c r="E513" s="1">
        <f t="shared" si="7"/>
        <v>44959</v>
      </c>
      <c r="F513" s="51">
        <v>44959.563055555598</v>
      </c>
      <c r="G513" s="51">
        <v>44959.567025463002</v>
      </c>
      <c r="H513" s="52">
        <v>3.333333333333E-3</v>
      </c>
      <c r="I513">
        <v>13.513333320617676</v>
      </c>
      <c r="J513">
        <v>8076.5815096300303</v>
      </c>
      <c r="K513">
        <v>181.845058994526</v>
      </c>
    </row>
    <row r="514" spans="1:11" x14ac:dyDescent="0.25">
      <c r="A514" t="s">
        <v>0</v>
      </c>
      <c r="B514">
        <f>VLOOKUP(C514,'[2]Ensaio 1'!$A$2:$F$28,6,FALSE)</f>
        <v>2</v>
      </c>
      <c r="C514" s="36">
        <v>900248002084301</v>
      </c>
      <c r="D514" s="36">
        <v>900248002084301</v>
      </c>
      <c r="E514" s="1">
        <f t="shared" ref="E514:E577" si="8">ROUNDDOWN(LEFT(F514,10),0)</f>
        <v>44959</v>
      </c>
      <c r="F514" s="51">
        <v>44959.749247685198</v>
      </c>
      <c r="G514" s="51">
        <v>44959.752488425896</v>
      </c>
      <c r="H514" s="52">
        <v>3.032407407407E-3</v>
      </c>
      <c r="I514">
        <v>17.981945037841797</v>
      </c>
      <c r="J514">
        <v>11745.1879275191</v>
      </c>
      <c r="K514">
        <v>274.41031443517898</v>
      </c>
    </row>
    <row r="515" spans="1:11" x14ac:dyDescent="0.25">
      <c r="A515" t="s">
        <v>0</v>
      </c>
      <c r="B515">
        <f>VLOOKUP(C515,'[2]Ensaio 1'!$A$2:$F$28,6,FALSE)</f>
        <v>2</v>
      </c>
      <c r="C515" s="36">
        <v>960000003516311</v>
      </c>
      <c r="D515" s="36">
        <v>960000003516311</v>
      </c>
      <c r="E515" s="1">
        <f t="shared" si="8"/>
        <v>44959</v>
      </c>
      <c r="F515" s="51">
        <v>44959.7527430556</v>
      </c>
      <c r="G515" s="51">
        <v>44959.756111111099</v>
      </c>
      <c r="H515" s="52">
        <v>2.6967592592590001E-3</v>
      </c>
      <c r="I515">
        <v>18.065834045410156</v>
      </c>
      <c r="J515">
        <v>9423.4148629048595</v>
      </c>
      <c r="K515">
        <v>195.71667219352699</v>
      </c>
    </row>
    <row r="516" spans="1:11" x14ac:dyDescent="0.25">
      <c r="A516" t="s">
        <v>0</v>
      </c>
      <c r="B516">
        <f>VLOOKUP(C516,'[2]Ensaio 1'!$A$2:$F$28,6,FALSE)</f>
        <v>2</v>
      </c>
      <c r="C516" s="36">
        <v>960000003827747</v>
      </c>
      <c r="D516" s="36">
        <v>960000003827747</v>
      </c>
      <c r="E516" s="1">
        <f t="shared" si="8"/>
        <v>44959</v>
      </c>
      <c r="F516" s="51">
        <v>44959.775949074101</v>
      </c>
      <c r="G516" s="51">
        <v>44959.785555555602</v>
      </c>
      <c r="H516" s="52">
        <v>8.2870370370370008E-3</v>
      </c>
      <c r="I516">
        <v>18.622777938842773</v>
      </c>
      <c r="J516">
        <v>9767.1380924467994</v>
      </c>
      <c r="K516">
        <v>253.130208302358</v>
      </c>
    </row>
    <row r="517" spans="1:11" x14ac:dyDescent="0.25">
      <c r="A517" t="s">
        <v>0</v>
      </c>
      <c r="B517">
        <f>VLOOKUP(C517,'[2]Ensaio 1'!$A$2:$F$28,6,FALSE)</f>
        <v>2</v>
      </c>
      <c r="C517" s="36">
        <v>900248002084301</v>
      </c>
      <c r="D517" s="36">
        <v>900248002084301</v>
      </c>
      <c r="E517" s="1">
        <f t="shared" si="8"/>
        <v>44959</v>
      </c>
      <c r="F517" s="51">
        <v>44959.787210648101</v>
      </c>
      <c r="G517" s="51">
        <v>44959.800601851799</v>
      </c>
      <c r="H517" s="52">
        <v>1.2789351851852E-2</v>
      </c>
      <c r="I517">
        <v>18.893054962158203</v>
      </c>
      <c r="J517">
        <v>12338.541269224201</v>
      </c>
      <c r="K517">
        <v>333.08485635292499</v>
      </c>
    </row>
    <row r="518" spans="1:11" x14ac:dyDescent="0.25">
      <c r="A518" t="s">
        <v>0</v>
      </c>
      <c r="B518">
        <f>VLOOKUP(C518,'[2]Ensaio 1'!$A$2:$F$28,6,FALSE)</f>
        <v>2</v>
      </c>
      <c r="C518" s="36">
        <v>960000003516311</v>
      </c>
      <c r="D518" s="36">
        <v>960000003516311</v>
      </c>
      <c r="E518" s="1">
        <f t="shared" si="8"/>
        <v>44959</v>
      </c>
      <c r="F518" s="51">
        <v>44959.800636574102</v>
      </c>
      <c r="G518" s="51">
        <v>44959.812847222202</v>
      </c>
      <c r="H518" s="52">
        <v>1.1967592592593E-2</v>
      </c>
      <c r="I518">
        <v>19.215278625488281</v>
      </c>
      <c r="J518">
        <v>9746.8521566649997</v>
      </c>
      <c r="K518">
        <v>290.99174935288602</v>
      </c>
    </row>
    <row r="519" spans="1:11" x14ac:dyDescent="0.25">
      <c r="A519" t="s">
        <v>0</v>
      </c>
      <c r="B519">
        <f>VLOOKUP(C519,'[2]Ensaio 1'!$A$2:$F$28,6,FALSE)</f>
        <v>2</v>
      </c>
      <c r="C519" s="36">
        <v>900248002085907</v>
      </c>
      <c r="D519" s="36">
        <v>900248002085907</v>
      </c>
      <c r="E519" s="1">
        <f t="shared" si="8"/>
        <v>44959</v>
      </c>
      <c r="F519" s="51">
        <v>44959.839305555601</v>
      </c>
      <c r="G519" s="51">
        <v>44959.845787036997</v>
      </c>
      <c r="H519" s="52">
        <v>6.2152777777779999E-3</v>
      </c>
      <c r="I519">
        <v>20.143333435058594</v>
      </c>
      <c r="J519">
        <v>10307.8183471258</v>
      </c>
      <c r="K519">
        <v>254.79584101047899</v>
      </c>
    </row>
    <row r="520" spans="1:11" x14ac:dyDescent="0.25">
      <c r="A520" t="s">
        <v>0</v>
      </c>
      <c r="B520">
        <f>VLOOKUP(C520,'[2]Ensaio 1'!$A$2:$F$28,6,FALSE)</f>
        <v>2</v>
      </c>
      <c r="C520" s="36">
        <v>960000003688457</v>
      </c>
      <c r="D520" s="36">
        <v>960000003688457</v>
      </c>
      <c r="E520" s="1">
        <f t="shared" si="8"/>
        <v>44959</v>
      </c>
      <c r="F520" s="51">
        <v>44959.902129629598</v>
      </c>
      <c r="G520" s="51">
        <v>44959.905543981498</v>
      </c>
      <c r="H520" s="52">
        <v>3.3680555555560001E-3</v>
      </c>
      <c r="I520">
        <v>21.651111602783203</v>
      </c>
      <c r="J520">
        <v>8452.4068243024103</v>
      </c>
      <c r="K520">
        <v>221.532442054358</v>
      </c>
    </row>
    <row r="521" spans="1:11" x14ac:dyDescent="0.25">
      <c r="A521" t="s">
        <v>0</v>
      </c>
      <c r="B521">
        <f>VLOOKUP(C521,'[2]Ensaio 1'!$A$2:$F$28,6,FALSE)</f>
        <v>2</v>
      </c>
      <c r="C521" s="36">
        <v>960000003516311</v>
      </c>
      <c r="D521" s="36">
        <v>960000003516311</v>
      </c>
      <c r="E521" s="1">
        <f t="shared" si="8"/>
        <v>44960</v>
      </c>
      <c r="F521" s="51">
        <v>44960.012650463003</v>
      </c>
      <c r="G521" s="51">
        <v>44960.016157407401</v>
      </c>
      <c r="H521" s="52">
        <v>3.4606481481480001E-3</v>
      </c>
      <c r="I521">
        <v>0.303611099720001</v>
      </c>
      <c r="J521">
        <v>9633.3505974609707</v>
      </c>
      <c r="K521">
        <v>266.52879239718601</v>
      </c>
    </row>
    <row r="522" spans="1:11" x14ac:dyDescent="0.25">
      <c r="A522" t="s">
        <v>0</v>
      </c>
      <c r="B522">
        <f>VLOOKUP(C522,'[2]Ensaio 1'!$A$2:$F$28,6,FALSE)</f>
        <v>2</v>
      </c>
      <c r="C522" s="36">
        <v>960000003827747</v>
      </c>
      <c r="D522" s="36">
        <v>960000003827747</v>
      </c>
      <c r="E522" s="1">
        <f t="shared" si="8"/>
        <v>44960</v>
      </c>
      <c r="F522" s="51">
        <v>44960.054155092599</v>
      </c>
      <c r="G522" s="51">
        <v>44960.057847222197</v>
      </c>
      <c r="H522" s="52">
        <v>3.3912037037040002E-3</v>
      </c>
      <c r="I522">
        <v>1.2997221946716311</v>
      </c>
      <c r="J522">
        <v>9794.8923499203192</v>
      </c>
      <c r="K522">
        <v>300.97827312006098</v>
      </c>
    </row>
    <row r="523" spans="1:11" x14ac:dyDescent="0.25">
      <c r="A523" t="s">
        <v>0</v>
      </c>
      <c r="B523">
        <f>VLOOKUP(C523,'[2]Ensaio 1'!$A$2:$F$28,6,FALSE)</f>
        <v>2</v>
      </c>
      <c r="C523" s="36">
        <v>960000003688457</v>
      </c>
      <c r="D523" s="36">
        <v>960000003688457</v>
      </c>
      <c r="E523" s="1">
        <f t="shared" si="8"/>
        <v>44960</v>
      </c>
      <c r="F523" s="51">
        <v>44960.059479166703</v>
      </c>
      <c r="G523" s="51">
        <v>44960.062731481499</v>
      </c>
      <c r="H523" s="52">
        <v>3.0787037037039999E-3</v>
      </c>
      <c r="I523">
        <v>1.4275000095367429</v>
      </c>
      <c r="J523">
        <v>8147.3777996837198</v>
      </c>
      <c r="K523">
        <v>195.175236198031</v>
      </c>
    </row>
    <row r="524" spans="1:11" x14ac:dyDescent="0.25">
      <c r="A524" t="s">
        <v>0</v>
      </c>
      <c r="B524">
        <f>VLOOKUP(C524,'[2]Ensaio 1'!$A$2:$F$28,6,FALSE)</f>
        <v>2</v>
      </c>
      <c r="C524" s="36">
        <v>900248002085907</v>
      </c>
      <c r="D524" s="36">
        <v>900248002085907</v>
      </c>
      <c r="E524" s="1">
        <f t="shared" si="8"/>
        <v>44960</v>
      </c>
      <c r="F524" s="51">
        <v>44960.086967592601</v>
      </c>
      <c r="G524" s="51">
        <v>44960.090266203697</v>
      </c>
      <c r="H524" s="52">
        <v>3.2523148148149998E-3</v>
      </c>
      <c r="I524">
        <v>2.0872223377227779</v>
      </c>
      <c r="J524">
        <v>9838.4588605215704</v>
      </c>
      <c r="K524">
        <v>259.82062412154499</v>
      </c>
    </row>
    <row r="525" spans="1:11" x14ac:dyDescent="0.25">
      <c r="A525" t="s">
        <v>0</v>
      </c>
      <c r="B525">
        <f>VLOOKUP(C525,'[2]Ensaio 1'!$A$2:$F$28,6,FALSE)</f>
        <v>2</v>
      </c>
      <c r="C525" s="36">
        <v>960000003688457</v>
      </c>
      <c r="D525" s="36">
        <v>960000003688457</v>
      </c>
      <c r="E525" s="1">
        <f t="shared" si="8"/>
        <v>44960</v>
      </c>
      <c r="F525" s="51">
        <v>44960.287777777798</v>
      </c>
      <c r="G525" s="51">
        <v>44960.293275463002</v>
      </c>
      <c r="H525" s="52">
        <v>5.081018518519E-3</v>
      </c>
      <c r="I525">
        <v>6.9066667556762704</v>
      </c>
      <c r="J525">
        <v>9189.8034535113693</v>
      </c>
      <c r="K525">
        <v>181.716853314925</v>
      </c>
    </row>
    <row r="526" spans="1:11" x14ac:dyDescent="0.25">
      <c r="A526" t="s">
        <v>0</v>
      </c>
      <c r="B526">
        <f>VLOOKUP(C526,'[2]Ensaio 1'!$A$2:$F$28,6,FALSE)</f>
        <v>2</v>
      </c>
      <c r="C526" s="36">
        <v>960000003827747</v>
      </c>
      <c r="D526" s="36">
        <v>960000003827747</v>
      </c>
      <c r="E526" s="1">
        <f t="shared" si="8"/>
        <v>44960</v>
      </c>
      <c r="F526" s="51">
        <v>44960.309374999997</v>
      </c>
      <c r="G526" s="51">
        <v>44960.313229166699</v>
      </c>
      <c r="H526" s="52">
        <v>3.2638888888890001E-3</v>
      </c>
      <c r="I526">
        <v>7.4250001907348633</v>
      </c>
      <c r="J526">
        <v>7305.4311492185398</v>
      </c>
      <c r="K526">
        <v>93.006725062422603</v>
      </c>
    </row>
    <row r="527" spans="1:11" x14ac:dyDescent="0.25">
      <c r="A527" t="s">
        <v>0</v>
      </c>
      <c r="B527">
        <f>VLOOKUP(C527,'[2]Ensaio 1'!$A$2:$F$28,6,FALSE)</f>
        <v>2</v>
      </c>
      <c r="C527" s="36">
        <v>900248002085907</v>
      </c>
      <c r="D527" s="36">
        <v>900248002085907</v>
      </c>
      <c r="E527" s="1">
        <f t="shared" si="8"/>
        <v>44960</v>
      </c>
      <c r="F527" s="51">
        <v>44960.332743055602</v>
      </c>
      <c r="G527" s="51">
        <v>44960.336018518501</v>
      </c>
      <c r="H527" s="52">
        <v>3.2175925925929999E-3</v>
      </c>
      <c r="I527">
        <v>7.9858331680297852</v>
      </c>
      <c r="J527">
        <v>9453.1053252499696</v>
      </c>
      <c r="K527">
        <v>230.72009572738801</v>
      </c>
    </row>
    <row r="528" spans="1:11" x14ac:dyDescent="0.25">
      <c r="A528" t="s">
        <v>0</v>
      </c>
      <c r="B528">
        <f>VLOOKUP(C528,'[2]Ensaio 1'!$A$2:$F$28,6,FALSE)</f>
        <v>2</v>
      </c>
      <c r="C528" s="36">
        <v>960000003688457</v>
      </c>
      <c r="D528" s="36">
        <v>960000003688457</v>
      </c>
      <c r="E528" s="1">
        <f t="shared" si="8"/>
        <v>44960</v>
      </c>
      <c r="F528" s="51">
        <v>44960.511469907397</v>
      </c>
      <c r="G528" s="51">
        <v>44960.514664351896</v>
      </c>
      <c r="H528" s="52">
        <v>3.1481481481479999E-3</v>
      </c>
      <c r="I528">
        <v>12.275278091430664</v>
      </c>
      <c r="J528">
        <v>7320.72175180867</v>
      </c>
      <c r="K528">
        <v>228.781054812208</v>
      </c>
    </row>
    <row r="529" spans="1:11" x14ac:dyDescent="0.25">
      <c r="A529" t="s">
        <v>0</v>
      </c>
      <c r="B529">
        <f>VLOOKUP(C529,'[2]Ensaio 1'!$A$2:$F$28,6,FALSE)</f>
        <v>2</v>
      </c>
      <c r="C529" s="36">
        <v>960000003827747</v>
      </c>
      <c r="D529" s="36">
        <v>960000003827747</v>
      </c>
      <c r="E529" s="1">
        <f t="shared" si="8"/>
        <v>44960</v>
      </c>
      <c r="F529" s="51">
        <v>44960.553391203699</v>
      </c>
      <c r="G529" s="51">
        <v>44960.556817129604</v>
      </c>
      <c r="H529" s="52">
        <v>2.4074074074069999E-3</v>
      </c>
      <c r="I529">
        <v>13.281389236450195</v>
      </c>
      <c r="J529">
        <v>7671.7240499940099</v>
      </c>
      <c r="K529">
        <v>122.161158362462</v>
      </c>
    </row>
    <row r="530" spans="1:11" x14ac:dyDescent="0.25">
      <c r="A530" t="s">
        <v>0</v>
      </c>
      <c r="B530">
        <f>VLOOKUP(C530,'[2]Ensaio 1'!$A$2:$F$28,6,FALSE)</f>
        <v>2</v>
      </c>
      <c r="C530" s="36">
        <v>900248002085907</v>
      </c>
      <c r="D530" s="36">
        <v>900248002085907</v>
      </c>
      <c r="E530" s="1">
        <f t="shared" si="8"/>
        <v>44960</v>
      </c>
      <c r="F530" s="51">
        <v>44960.637696759302</v>
      </c>
      <c r="G530" s="51">
        <v>44960.6414351852</v>
      </c>
      <c r="H530" s="52">
        <v>3.6574074074070002E-3</v>
      </c>
      <c r="I530">
        <v>15.304721832275391</v>
      </c>
      <c r="J530">
        <v>8704.9525964968707</v>
      </c>
      <c r="K530">
        <v>159.514586922988</v>
      </c>
    </row>
    <row r="531" spans="1:11" x14ac:dyDescent="0.25">
      <c r="A531" t="s">
        <v>0</v>
      </c>
      <c r="B531">
        <f>VLOOKUP(C531,'[2]Ensaio 1'!$A$2:$F$28,6,FALSE)</f>
        <v>2</v>
      </c>
      <c r="C531" s="36">
        <v>960000003688457</v>
      </c>
      <c r="D531" s="36">
        <v>960000003688457</v>
      </c>
      <c r="E531" s="1">
        <f t="shared" si="8"/>
        <v>44960</v>
      </c>
      <c r="F531" s="51">
        <v>44960.701724537001</v>
      </c>
      <c r="G531" s="51">
        <v>44960.703321759298</v>
      </c>
      <c r="H531" s="52">
        <v>1.5277777777779999E-3</v>
      </c>
      <c r="I531">
        <v>16.841388702392578</v>
      </c>
      <c r="J531">
        <v>7258.4665412498198</v>
      </c>
      <c r="K531">
        <v>283.00464912559698</v>
      </c>
    </row>
    <row r="532" spans="1:11" x14ac:dyDescent="0.25">
      <c r="A532" t="s">
        <v>0</v>
      </c>
      <c r="B532">
        <f>VLOOKUP(C532,'[2]Ensaio 1'!$A$2:$F$28,6,FALSE)</f>
        <v>2</v>
      </c>
      <c r="C532" s="36">
        <v>960000003688457</v>
      </c>
      <c r="D532" s="36">
        <v>960000003688457</v>
      </c>
      <c r="E532" s="1">
        <f t="shared" si="8"/>
        <v>44960</v>
      </c>
      <c r="F532" s="51">
        <v>44960.734756944403</v>
      </c>
      <c r="G532" s="51">
        <v>44960.738159722197</v>
      </c>
      <c r="H532" s="52">
        <v>3.333333333333E-3</v>
      </c>
      <c r="I532">
        <v>17.634166717529297</v>
      </c>
      <c r="J532">
        <v>7345.0351061063102</v>
      </c>
      <c r="K532">
        <v>172.428643025616</v>
      </c>
    </row>
    <row r="533" spans="1:11" x14ac:dyDescent="0.25">
      <c r="A533" t="s">
        <v>0</v>
      </c>
      <c r="B533">
        <f>VLOOKUP(C533,'[2]Ensaio 1'!$A$2:$F$28,6,FALSE)</f>
        <v>2</v>
      </c>
      <c r="C533" s="36">
        <v>960000003827747</v>
      </c>
      <c r="D533" s="36">
        <v>960000003827747</v>
      </c>
      <c r="E533" s="1">
        <f t="shared" si="8"/>
        <v>44960</v>
      </c>
      <c r="F533" s="51">
        <v>44960.768622685202</v>
      </c>
      <c r="G533" s="51">
        <v>44960.771620370397</v>
      </c>
      <c r="H533" s="52">
        <v>2.6967592592590001E-3</v>
      </c>
      <c r="I533">
        <v>18.446945190429688</v>
      </c>
      <c r="J533">
        <v>8094.5549058514498</v>
      </c>
      <c r="K533">
        <v>152.425489985425</v>
      </c>
    </row>
    <row r="534" spans="1:11" x14ac:dyDescent="0.25">
      <c r="A534" t="s">
        <v>0</v>
      </c>
      <c r="B534">
        <f>VLOOKUP(C534,'[2]Ensaio 1'!$A$2:$F$28,6,FALSE)</f>
        <v>2</v>
      </c>
      <c r="C534" s="36">
        <v>900248002085907</v>
      </c>
      <c r="D534" s="36">
        <v>900248002085907</v>
      </c>
      <c r="E534" s="1">
        <f t="shared" si="8"/>
        <v>44960</v>
      </c>
      <c r="F534" s="51">
        <v>44960.912141203698</v>
      </c>
      <c r="G534" s="51">
        <v>44960.9152777778</v>
      </c>
      <c r="H534" s="52">
        <v>3.0902777777780002E-3</v>
      </c>
      <c r="I534">
        <v>21.891387939453125</v>
      </c>
      <c r="J534">
        <v>9072.7510440096703</v>
      </c>
      <c r="K534">
        <v>220.769886273026</v>
      </c>
    </row>
    <row r="535" spans="1:11" x14ac:dyDescent="0.25">
      <c r="A535" t="s">
        <v>0</v>
      </c>
      <c r="B535">
        <f>VLOOKUP(C535,'[2]Ensaio 1'!$A$2:$F$28,6,FALSE)</f>
        <v>2</v>
      </c>
      <c r="C535" s="36">
        <v>960000003688457</v>
      </c>
      <c r="D535" s="36">
        <v>960000003688457</v>
      </c>
      <c r="E535" s="1">
        <f t="shared" si="8"/>
        <v>44960</v>
      </c>
      <c r="F535" s="51">
        <v>44960.946018518502</v>
      </c>
      <c r="G535" s="51">
        <v>44960.950532407398</v>
      </c>
      <c r="H535" s="52">
        <v>3.6458333333329999E-3</v>
      </c>
      <c r="I535">
        <v>22.704444885253906</v>
      </c>
      <c r="J535">
        <v>7703.73876588241</v>
      </c>
      <c r="K535">
        <v>188.57327403633499</v>
      </c>
    </row>
    <row r="536" spans="1:11" x14ac:dyDescent="0.25">
      <c r="A536" t="s">
        <v>0</v>
      </c>
      <c r="B536">
        <f>VLOOKUP(C536,'[2]Ensaio 1'!$A$2:$F$28,6,FALSE)</f>
        <v>2</v>
      </c>
      <c r="C536" s="36">
        <v>900248002085907</v>
      </c>
      <c r="D536" s="36">
        <v>900248002085907</v>
      </c>
      <c r="E536" s="1">
        <f t="shared" si="8"/>
        <v>44961</v>
      </c>
      <c r="F536" s="51">
        <v>44961.010914351798</v>
      </c>
      <c r="G536" s="51">
        <v>44961.013969907399</v>
      </c>
      <c r="H536" s="52">
        <v>3.0092592592589999E-3</v>
      </c>
      <c r="I536">
        <v>0.26194444298744202</v>
      </c>
      <c r="J536">
        <v>9315.0066004368</v>
      </c>
      <c r="K536">
        <v>229.92891278132501</v>
      </c>
    </row>
    <row r="537" spans="1:11" x14ac:dyDescent="0.25">
      <c r="A537" t="s">
        <v>0</v>
      </c>
      <c r="B537">
        <f>VLOOKUP(C537,'[2]Ensaio 1'!$A$2:$F$28,6,FALSE)</f>
        <v>2</v>
      </c>
      <c r="C537" s="36">
        <v>960000003688457</v>
      </c>
      <c r="D537" s="36">
        <v>960000003688457</v>
      </c>
      <c r="E537" s="1">
        <f t="shared" si="8"/>
        <v>44961</v>
      </c>
      <c r="F537" s="51">
        <v>44961.146585648101</v>
      </c>
      <c r="G537" s="51">
        <v>44961.149363425902</v>
      </c>
      <c r="H537" s="52">
        <v>2.7199074074070002E-3</v>
      </c>
      <c r="I537">
        <v>3.5180554389953609</v>
      </c>
      <c r="J537">
        <v>9289.8243817908206</v>
      </c>
      <c r="K537">
        <v>226.98501589950499</v>
      </c>
    </row>
    <row r="538" spans="1:11" x14ac:dyDescent="0.25">
      <c r="A538" t="s">
        <v>0</v>
      </c>
      <c r="B538">
        <f>VLOOKUP(C538,'[2]Ensaio 1'!$A$2:$F$28,6,FALSE)</f>
        <v>2</v>
      </c>
      <c r="C538" s="36">
        <v>960000003827747</v>
      </c>
      <c r="D538" s="36">
        <v>960000003827747</v>
      </c>
      <c r="E538" s="1">
        <f t="shared" si="8"/>
        <v>44961</v>
      </c>
      <c r="F538" s="51">
        <v>44961.180393518502</v>
      </c>
      <c r="G538" s="51">
        <v>44961.184502314798</v>
      </c>
      <c r="H538" s="52">
        <v>3.703703703704E-3</v>
      </c>
      <c r="I538">
        <v>4.329444408416748</v>
      </c>
      <c r="J538">
        <v>7815.54423190542</v>
      </c>
      <c r="K538">
        <v>171.65392056654201</v>
      </c>
    </row>
    <row r="539" spans="1:11" x14ac:dyDescent="0.25">
      <c r="A539" t="s">
        <v>0</v>
      </c>
      <c r="B539">
        <f>VLOOKUP(C539,'[2]Ensaio 1'!$A$2:$F$28,6,FALSE)</f>
        <v>2</v>
      </c>
      <c r="C539" s="36">
        <v>960000003827747</v>
      </c>
      <c r="D539" s="36">
        <v>960000003827747</v>
      </c>
      <c r="E539" s="1">
        <f t="shared" si="8"/>
        <v>44961</v>
      </c>
      <c r="F539" s="51">
        <v>44961.334745370397</v>
      </c>
      <c r="G539" s="51">
        <v>44961.340833333299</v>
      </c>
      <c r="H539" s="52">
        <v>1.5277777777779999E-3</v>
      </c>
      <c r="I539">
        <v>8.0338888168334961</v>
      </c>
      <c r="J539">
        <v>6870.2756363737099</v>
      </c>
      <c r="K539">
        <v>74.982038758260103</v>
      </c>
    </row>
    <row r="540" spans="1:11" x14ac:dyDescent="0.25">
      <c r="A540" t="s">
        <v>0</v>
      </c>
      <c r="B540">
        <f>VLOOKUP(C540,'[2]Ensaio 1'!$A$2:$F$28,6,FALSE)</f>
        <v>2</v>
      </c>
      <c r="C540" s="36">
        <v>900248002085907</v>
      </c>
      <c r="D540" s="36">
        <v>900248002085907</v>
      </c>
      <c r="E540" s="1">
        <f t="shared" si="8"/>
        <v>44961</v>
      </c>
      <c r="F540" s="51">
        <v>44961.3670486111</v>
      </c>
      <c r="G540" s="51">
        <v>44961.372847222199</v>
      </c>
      <c r="H540" s="52">
        <v>2.4768518518519999E-3</v>
      </c>
      <c r="I540">
        <v>8.8091669082641602</v>
      </c>
      <c r="J540">
        <v>9949.8812391739993</v>
      </c>
      <c r="K540">
        <v>230.660099354408</v>
      </c>
    </row>
    <row r="541" spans="1:11" x14ac:dyDescent="0.25">
      <c r="A541" t="s">
        <v>0</v>
      </c>
      <c r="B541">
        <f>VLOOKUP(C541,'[2]Ensaio 1'!$A$2:$F$28,6,FALSE)</f>
        <v>2</v>
      </c>
      <c r="C541" s="36">
        <v>960000003688457</v>
      </c>
      <c r="D541" s="36">
        <v>960000003688457</v>
      </c>
      <c r="E541" s="1">
        <f t="shared" si="8"/>
        <v>44961</v>
      </c>
      <c r="F541" s="51">
        <v>44961.379548611098</v>
      </c>
      <c r="G541" s="51">
        <v>44961.381377314799</v>
      </c>
      <c r="H541" s="52">
        <v>1.782407407407E-3</v>
      </c>
      <c r="I541">
        <v>9.1091670989990234</v>
      </c>
      <c r="J541">
        <v>7190.9121393082996</v>
      </c>
      <c r="K541">
        <v>166.52626239588599</v>
      </c>
    </row>
    <row r="542" spans="1:11" x14ac:dyDescent="0.25">
      <c r="A542" t="s">
        <v>0</v>
      </c>
      <c r="B542">
        <f>VLOOKUP(C542,'[2]Ensaio 1'!$A$2:$F$28,6,FALSE)</f>
        <v>2</v>
      </c>
      <c r="C542" s="36">
        <v>960000003827747</v>
      </c>
      <c r="D542" s="36">
        <v>960000003827747</v>
      </c>
      <c r="E542" s="1">
        <f t="shared" si="8"/>
        <v>44961</v>
      </c>
      <c r="F542" s="51">
        <v>44961.398599537002</v>
      </c>
      <c r="G542" s="51">
        <v>44961.402893518498</v>
      </c>
      <c r="H542" s="52">
        <v>3.0902777777780002E-3</v>
      </c>
      <c r="I542">
        <v>9.5663890838623047</v>
      </c>
      <c r="J542">
        <v>8496.3468243485404</v>
      </c>
      <c r="K542">
        <v>188.18290171651</v>
      </c>
    </row>
    <row r="543" spans="1:11" x14ac:dyDescent="0.25">
      <c r="A543" t="s">
        <v>0</v>
      </c>
      <c r="B543">
        <f>VLOOKUP(C543,'[2]Ensaio 1'!$A$2:$F$28,6,FALSE)</f>
        <v>2</v>
      </c>
      <c r="C543" s="36">
        <v>900248002084301</v>
      </c>
      <c r="D543" s="36">
        <v>900248002084301</v>
      </c>
      <c r="E543" s="1">
        <f t="shared" si="8"/>
        <v>44961</v>
      </c>
      <c r="F543" s="51">
        <v>44961.418240740699</v>
      </c>
      <c r="G543" s="51">
        <v>44961.420057870397</v>
      </c>
      <c r="H543" s="52">
        <v>1.782407407407E-3</v>
      </c>
      <c r="I543">
        <v>10.037777900695801</v>
      </c>
      <c r="J543">
        <v>7208.9094157998497</v>
      </c>
      <c r="K543">
        <v>101.430374451006</v>
      </c>
    </row>
    <row r="544" spans="1:11" x14ac:dyDescent="0.25">
      <c r="A544" t="s">
        <v>0</v>
      </c>
      <c r="B544">
        <f>VLOOKUP(C544,'[2]Ensaio 1'!$A$2:$F$28,6,FALSE)</f>
        <v>2</v>
      </c>
      <c r="C544" s="36">
        <v>960000003688457</v>
      </c>
      <c r="D544" s="36">
        <v>960000003688457</v>
      </c>
      <c r="E544" s="1">
        <f t="shared" si="8"/>
        <v>44961</v>
      </c>
      <c r="F544" s="51">
        <v>44961.434456018498</v>
      </c>
      <c r="G544" s="51">
        <v>44961.436076388898</v>
      </c>
      <c r="H544" s="52">
        <v>1.5972222222220001E-3</v>
      </c>
      <c r="I544">
        <v>10.426944732666016</v>
      </c>
      <c r="J544">
        <v>7025.8923282785499</v>
      </c>
      <c r="K544">
        <v>130.86442546395</v>
      </c>
    </row>
    <row r="545" spans="1:11" x14ac:dyDescent="0.25">
      <c r="A545" t="s">
        <v>0</v>
      </c>
      <c r="B545">
        <f>VLOOKUP(C545,'[2]Ensaio 1'!$A$2:$F$28,6,FALSE)</f>
        <v>2</v>
      </c>
      <c r="C545" s="36">
        <v>960000003516311</v>
      </c>
      <c r="D545" s="36">
        <v>960000003516311</v>
      </c>
      <c r="E545" s="1">
        <f t="shared" si="8"/>
        <v>44961</v>
      </c>
      <c r="F545" s="51">
        <v>44961.5559490741</v>
      </c>
      <c r="G545" s="51">
        <v>44961.558287036998</v>
      </c>
      <c r="H545" s="52">
        <v>2.233796296296E-3</v>
      </c>
      <c r="I545">
        <v>13.342778205871582</v>
      </c>
      <c r="J545">
        <v>6314.8847846024501</v>
      </c>
      <c r="K545">
        <v>43.7161017850772</v>
      </c>
    </row>
    <row r="546" spans="1:11" x14ac:dyDescent="0.25">
      <c r="A546" t="s">
        <v>0</v>
      </c>
      <c r="B546">
        <f>VLOOKUP(C546,'[2]Ensaio 1'!$A$2:$F$28,6,FALSE)</f>
        <v>2</v>
      </c>
      <c r="C546" s="36">
        <v>960000003827747</v>
      </c>
      <c r="D546" s="36">
        <v>960000003827747</v>
      </c>
      <c r="E546" s="1">
        <f t="shared" si="8"/>
        <v>44961</v>
      </c>
      <c r="F546" s="51">
        <v>44961.620763888903</v>
      </c>
      <c r="G546" s="51">
        <v>44961.624826388899</v>
      </c>
      <c r="H546" s="52">
        <v>3.506944444444E-3</v>
      </c>
      <c r="I546">
        <v>14.898333549499512</v>
      </c>
      <c r="J546">
        <v>7884.4658021208097</v>
      </c>
      <c r="K546">
        <v>173.55767426975899</v>
      </c>
    </row>
    <row r="547" spans="1:11" x14ac:dyDescent="0.25">
      <c r="A547" t="s">
        <v>0</v>
      </c>
      <c r="B547">
        <f>VLOOKUP(C547,'[2]Ensaio 1'!$A$2:$F$28,6,FALSE)</f>
        <v>2</v>
      </c>
      <c r="C547" s="36">
        <v>960000003688457</v>
      </c>
      <c r="D547" s="36">
        <v>960000003688457</v>
      </c>
      <c r="E547" s="1">
        <f t="shared" si="8"/>
        <v>44961</v>
      </c>
      <c r="F547" s="51">
        <v>44961.633090277799</v>
      </c>
      <c r="G547" s="51">
        <v>44961.636261574102</v>
      </c>
      <c r="H547" s="52">
        <v>3.0902777777780002E-3</v>
      </c>
      <c r="I547">
        <v>15.194167137145996</v>
      </c>
      <c r="J547">
        <v>8082.8493518790401</v>
      </c>
      <c r="K547">
        <v>198.165164644008</v>
      </c>
    </row>
    <row r="548" spans="1:11" x14ac:dyDescent="0.25">
      <c r="A548" t="s">
        <v>0</v>
      </c>
      <c r="B548">
        <f>VLOOKUP(C548,'[2]Ensaio 1'!$A$2:$F$28,6,FALSE)</f>
        <v>2</v>
      </c>
      <c r="C548" s="36">
        <v>900248002084301</v>
      </c>
      <c r="D548" s="36">
        <v>900248002084301</v>
      </c>
      <c r="E548" s="1">
        <f t="shared" si="8"/>
        <v>44961</v>
      </c>
      <c r="F548" s="51">
        <v>44961.690081018503</v>
      </c>
      <c r="G548" s="51">
        <v>44961.693969907399</v>
      </c>
      <c r="H548" s="52">
        <v>3.472222222222E-3</v>
      </c>
      <c r="I548">
        <v>16.561944961547852</v>
      </c>
      <c r="J548">
        <v>8681.1391461928706</v>
      </c>
      <c r="K548">
        <v>83.121708255847594</v>
      </c>
    </row>
    <row r="549" spans="1:11" x14ac:dyDescent="0.25">
      <c r="A549" t="s">
        <v>0</v>
      </c>
      <c r="B549">
        <f>VLOOKUP(C549,'[2]Ensaio 1'!$A$2:$F$28,6,FALSE)</f>
        <v>2</v>
      </c>
      <c r="C549" s="36">
        <v>900248002085907</v>
      </c>
      <c r="D549" s="36">
        <v>900248002085907</v>
      </c>
      <c r="E549" s="1">
        <f t="shared" si="8"/>
        <v>44961</v>
      </c>
      <c r="F549" s="51">
        <v>44961.746597222198</v>
      </c>
      <c r="G549" s="51">
        <v>44961.751041666699</v>
      </c>
      <c r="H549" s="52">
        <v>2.6273148148150001E-3</v>
      </c>
      <c r="I549">
        <v>17.918333053588867</v>
      </c>
      <c r="J549">
        <v>10424.450210644</v>
      </c>
      <c r="K549">
        <v>212.820843049263</v>
      </c>
    </row>
    <row r="550" spans="1:11" x14ac:dyDescent="0.25">
      <c r="A550" t="s">
        <v>0</v>
      </c>
      <c r="B550">
        <f>VLOOKUP(C550,'[2]Ensaio 1'!$A$2:$F$28,6,FALSE)</f>
        <v>2</v>
      </c>
      <c r="C550" s="36">
        <v>900248002084301</v>
      </c>
      <c r="D550" s="36">
        <v>900248002084301</v>
      </c>
      <c r="E550" s="1">
        <f t="shared" si="8"/>
        <v>44961</v>
      </c>
      <c r="F550" s="51">
        <v>44961.8969560185</v>
      </c>
      <c r="G550" s="51">
        <v>44961.898657407401</v>
      </c>
      <c r="H550" s="52">
        <v>1.5972222222220001E-3</v>
      </c>
      <c r="I550">
        <v>21.526945114135742</v>
      </c>
      <c r="J550">
        <v>9174.6358911999596</v>
      </c>
      <c r="K550">
        <v>113.118141507667</v>
      </c>
    </row>
    <row r="551" spans="1:11" x14ac:dyDescent="0.25">
      <c r="A551" t="s">
        <v>0</v>
      </c>
      <c r="B551">
        <f>VLOOKUP(C551,'[2]Ensaio 1'!$A$2:$F$28,6,FALSE)</f>
        <v>2</v>
      </c>
      <c r="C551" s="36">
        <v>960000003688457</v>
      </c>
      <c r="D551" s="36">
        <v>960000003688457</v>
      </c>
      <c r="E551" s="1">
        <f t="shared" si="8"/>
        <v>44961</v>
      </c>
      <c r="F551" s="51">
        <v>44961.914479166699</v>
      </c>
      <c r="G551" s="51">
        <v>44961.917442129597</v>
      </c>
      <c r="H551" s="52">
        <v>2.905092592593E-3</v>
      </c>
      <c r="I551">
        <v>21.947500228881836</v>
      </c>
      <c r="J551">
        <v>8454.9919163366394</v>
      </c>
      <c r="K551">
        <v>226.212294121925</v>
      </c>
    </row>
    <row r="552" spans="1:11" x14ac:dyDescent="0.25">
      <c r="A552" t="s">
        <v>0</v>
      </c>
      <c r="B552">
        <f>VLOOKUP(C552,'[2]Ensaio 1'!$A$2:$F$28,6,FALSE)</f>
        <v>2</v>
      </c>
      <c r="C552" s="36">
        <v>900248002084301</v>
      </c>
      <c r="D552" s="36">
        <v>900248002084301</v>
      </c>
      <c r="E552" s="1">
        <f t="shared" si="8"/>
        <v>44961</v>
      </c>
      <c r="F552" s="51">
        <v>44961.950717592597</v>
      </c>
      <c r="G552" s="51">
        <v>44961.953738425902</v>
      </c>
      <c r="H552" s="52">
        <v>2.9861111111109998E-3</v>
      </c>
      <c r="I552">
        <v>22.817222595214844</v>
      </c>
      <c r="J552">
        <v>8788.9280031808594</v>
      </c>
      <c r="K552">
        <v>133.22452095299101</v>
      </c>
    </row>
    <row r="553" spans="1:11" x14ac:dyDescent="0.25">
      <c r="A553" t="s">
        <v>0</v>
      </c>
      <c r="B553">
        <f>VLOOKUP(C553,'[2]Ensaio 1'!$A$2:$F$28,6,FALSE)</f>
        <v>2</v>
      </c>
      <c r="C553" s="36">
        <v>960000003827747</v>
      </c>
      <c r="D553" s="36">
        <v>960000003827747</v>
      </c>
      <c r="E553" s="1">
        <f t="shared" si="8"/>
        <v>44962</v>
      </c>
      <c r="F553" s="51">
        <v>44962.018865740698</v>
      </c>
      <c r="G553" s="51">
        <v>44962.022650462997</v>
      </c>
      <c r="H553" s="52">
        <v>3.634259259259E-3</v>
      </c>
      <c r="I553">
        <v>0.45277777314186102</v>
      </c>
      <c r="J553">
        <v>9403.9735281861194</v>
      </c>
      <c r="K553">
        <v>175.897681281046</v>
      </c>
    </row>
    <row r="554" spans="1:11" x14ac:dyDescent="0.25">
      <c r="A554" t="s">
        <v>0</v>
      </c>
      <c r="B554">
        <f>VLOOKUP(C554,'[2]Ensaio 1'!$A$2:$F$28,6,FALSE)</f>
        <v>2</v>
      </c>
      <c r="C554" s="36">
        <v>960000003688457</v>
      </c>
      <c r="D554" s="36">
        <v>960000003688457</v>
      </c>
      <c r="E554" s="1">
        <f t="shared" si="8"/>
        <v>44962</v>
      </c>
      <c r="F554" s="51">
        <v>44962.031724537002</v>
      </c>
      <c r="G554" s="51">
        <v>44962.035104166702</v>
      </c>
      <c r="H554" s="52">
        <v>3.3101851851849999E-3</v>
      </c>
      <c r="I554">
        <v>0.76138889789581299</v>
      </c>
      <c r="J554">
        <v>8410.5758360576292</v>
      </c>
      <c r="K554">
        <v>241.21533931954301</v>
      </c>
    </row>
    <row r="555" spans="1:11" x14ac:dyDescent="0.25">
      <c r="A555" t="s">
        <v>0</v>
      </c>
      <c r="B555">
        <f>VLOOKUP(C555,'[2]Ensaio 1'!$A$2:$F$28,6,FALSE)</f>
        <v>2</v>
      </c>
      <c r="C555" s="36">
        <v>900248002085907</v>
      </c>
      <c r="D555" s="36">
        <v>900248002085907</v>
      </c>
      <c r="E555" s="1">
        <f t="shared" si="8"/>
        <v>44962</v>
      </c>
      <c r="F555" s="51">
        <v>44962.073854166701</v>
      </c>
      <c r="G555" s="51">
        <v>44962.076990740701</v>
      </c>
      <c r="H555" s="52">
        <v>3.0787037037039999E-3</v>
      </c>
      <c r="I555">
        <v>1.7725000381469731</v>
      </c>
      <c r="J555">
        <v>9056.3446664738294</v>
      </c>
      <c r="K555">
        <v>156.19101028769299</v>
      </c>
    </row>
    <row r="556" spans="1:11" x14ac:dyDescent="0.25">
      <c r="A556" t="s">
        <v>0</v>
      </c>
      <c r="B556">
        <f>VLOOKUP(C556,'[2]Ensaio 1'!$A$2:$F$28,6,FALSE)</f>
        <v>2</v>
      </c>
      <c r="C556" s="36">
        <v>960000003516311</v>
      </c>
      <c r="D556" s="36">
        <v>960000003516311</v>
      </c>
      <c r="E556" s="1">
        <f t="shared" si="8"/>
        <v>44962</v>
      </c>
      <c r="F556" s="51">
        <v>44962.107523148101</v>
      </c>
      <c r="G556" s="51">
        <v>44962.110891203702</v>
      </c>
      <c r="H556" s="52">
        <v>3.2870370370369998E-3</v>
      </c>
      <c r="I556">
        <v>2.5805554389953609</v>
      </c>
      <c r="J556">
        <v>7465.4916331285503</v>
      </c>
      <c r="K556">
        <v>96.341242669681094</v>
      </c>
    </row>
    <row r="557" spans="1:11" x14ac:dyDescent="0.25">
      <c r="A557" t="s">
        <v>0</v>
      </c>
      <c r="B557">
        <f>VLOOKUP(C557,'[2]Ensaio 1'!$A$2:$F$28,6,FALSE)</f>
        <v>2</v>
      </c>
      <c r="C557" s="36">
        <v>960000003827747</v>
      </c>
      <c r="D557" s="36">
        <v>960000003827747</v>
      </c>
      <c r="E557" s="1">
        <f t="shared" si="8"/>
        <v>44962</v>
      </c>
      <c r="F557" s="51">
        <v>44962.284247685202</v>
      </c>
      <c r="G557" s="51">
        <v>44962.2878935185</v>
      </c>
      <c r="H557" s="52">
        <v>3.472222222222E-3</v>
      </c>
      <c r="I557">
        <v>6.8219442367553711</v>
      </c>
      <c r="J557">
        <v>7654.4214152412596</v>
      </c>
      <c r="K557">
        <v>135.82670250491401</v>
      </c>
    </row>
    <row r="558" spans="1:11" x14ac:dyDescent="0.25">
      <c r="A558" t="s">
        <v>0</v>
      </c>
      <c r="B558">
        <f>VLOOKUP(C558,'[2]Ensaio 1'!$A$2:$F$28,6,FALSE)</f>
        <v>2</v>
      </c>
      <c r="C558" s="36">
        <v>900248002085907</v>
      </c>
      <c r="D558" s="36">
        <v>900248002085907</v>
      </c>
      <c r="E558" s="1">
        <f t="shared" si="8"/>
        <v>44962</v>
      </c>
      <c r="F558" s="51">
        <v>44962.301331018498</v>
      </c>
      <c r="G558" s="51">
        <v>44962.304479166698</v>
      </c>
      <c r="H558" s="52">
        <v>3.0902777777780002E-3</v>
      </c>
      <c r="I558">
        <v>7.2319445610046387</v>
      </c>
      <c r="J558">
        <v>8053.4888975378599</v>
      </c>
      <c r="K558">
        <v>140.89252818684301</v>
      </c>
    </row>
    <row r="559" spans="1:11" x14ac:dyDescent="0.25">
      <c r="A559" t="s">
        <v>0</v>
      </c>
      <c r="B559">
        <f>VLOOKUP(C559,'[2]Ensaio 1'!$A$2:$F$28,6,FALSE)</f>
        <v>2</v>
      </c>
      <c r="C559" s="36">
        <v>960000003688457</v>
      </c>
      <c r="D559" s="36">
        <v>960000003688457</v>
      </c>
      <c r="E559" s="1">
        <f t="shared" si="8"/>
        <v>44962</v>
      </c>
      <c r="F559" s="51">
        <v>44962.319803240702</v>
      </c>
      <c r="G559" s="51">
        <v>44962.322905092602</v>
      </c>
      <c r="H559" s="52">
        <v>3.0439814814809999E-3</v>
      </c>
      <c r="I559">
        <v>7.6752777099609384</v>
      </c>
      <c r="J559">
        <v>7942.7711278389297</v>
      </c>
      <c r="K559">
        <v>180.78555173449101</v>
      </c>
    </row>
    <row r="560" spans="1:11" x14ac:dyDescent="0.25">
      <c r="A560" t="s">
        <v>0</v>
      </c>
      <c r="B560">
        <f>VLOOKUP(C560,'[2]Ensaio 1'!$A$2:$F$28,6,FALSE)</f>
        <v>2</v>
      </c>
      <c r="C560" s="36">
        <v>960000003516311</v>
      </c>
      <c r="D560" s="36">
        <v>960000003516311</v>
      </c>
      <c r="E560" s="1">
        <f t="shared" si="8"/>
        <v>44962</v>
      </c>
      <c r="F560" s="51">
        <v>44962.348310185203</v>
      </c>
      <c r="G560" s="51">
        <v>44962.3499421296</v>
      </c>
      <c r="H560" s="52">
        <v>1.6087962962959999E-3</v>
      </c>
      <c r="I560">
        <v>8.3594446182250977</v>
      </c>
      <c r="J560">
        <v>7372.9641330350496</v>
      </c>
      <c r="K560">
        <v>136.16477242977899</v>
      </c>
    </row>
    <row r="561" spans="1:11" x14ac:dyDescent="0.25">
      <c r="A561" t="s">
        <v>0</v>
      </c>
      <c r="B561">
        <f>VLOOKUP(C561,'[2]Ensaio 1'!$A$2:$F$28,6,FALSE)</f>
        <v>2</v>
      </c>
      <c r="C561" s="36">
        <v>900248002084301</v>
      </c>
      <c r="D561" s="36">
        <v>900248002084301</v>
      </c>
      <c r="E561" s="1">
        <f t="shared" si="8"/>
        <v>44962</v>
      </c>
      <c r="F561" s="51">
        <v>44962.393518518496</v>
      </c>
      <c r="G561" s="51">
        <v>44962.396539351903</v>
      </c>
      <c r="H561" s="52">
        <v>2.9282407407410001E-3</v>
      </c>
      <c r="I561">
        <v>9.4444446563720703</v>
      </c>
      <c r="J561">
        <v>8082.9186680102903</v>
      </c>
      <c r="K561">
        <v>91.3398390060064</v>
      </c>
    </row>
    <row r="562" spans="1:11" x14ac:dyDescent="0.25">
      <c r="A562" t="s">
        <v>0</v>
      </c>
      <c r="B562">
        <f>VLOOKUP(C562,'[2]Ensaio 1'!$A$2:$F$28,6,FALSE)</f>
        <v>2</v>
      </c>
      <c r="C562" s="36">
        <v>900248002085907</v>
      </c>
      <c r="D562" s="36">
        <v>900248002085907</v>
      </c>
      <c r="E562" s="1">
        <f t="shared" si="8"/>
        <v>44962</v>
      </c>
      <c r="F562" s="51">
        <v>44962.5456597222</v>
      </c>
      <c r="G562" s="51">
        <v>44962.550347222197</v>
      </c>
      <c r="H562" s="52">
        <v>3.6111111111109999E-3</v>
      </c>
      <c r="I562">
        <v>13.095833778381348</v>
      </c>
      <c r="J562">
        <v>8688.6488705540505</v>
      </c>
      <c r="K562">
        <v>187.678927736768</v>
      </c>
    </row>
    <row r="563" spans="1:11" x14ac:dyDescent="0.25">
      <c r="A563" t="s">
        <v>0</v>
      </c>
      <c r="B563">
        <f>VLOOKUP(C563,'[2]Ensaio 1'!$A$2:$F$28,6,FALSE)</f>
        <v>2</v>
      </c>
      <c r="C563" s="36">
        <v>960000003516311</v>
      </c>
      <c r="D563" s="36">
        <v>960000003516311</v>
      </c>
      <c r="E563" s="1">
        <f t="shared" si="8"/>
        <v>44962</v>
      </c>
      <c r="F563" s="51">
        <v>44962.5649305556</v>
      </c>
      <c r="G563" s="51">
        <v>44962.567777777796</v>
      </c>
      <c r="H563" s="52">
        <v>2.8124999999999999E-3</v>
      </c>
      <c r="I563">
        <v>13.558333396911621</v>
      </c>
      <c r="J563">
        <v>7241.1426660232701</v>
      </c>
      <c r="K563">
        <v>90.547958362237495</v>
      </c>
    </row>
    <row r="564" spans="1:11" x14ac:dyDescent="0.25">
      <c r="A564" t="s">
        <v>0</v>
      </c>
      <c r="B564">
        <f>VLOOKUP(C564,'[2]Ensaio 1'!$A$2:$F$28,6,FALSE)</f>
        <v>2</v>
      </c>
      <c r="C564" s="36">
        <v>960000003688457</v>
      </c>
      <c r="D564" s="36">
        <v>960000003688457</v>
      </c>
      <c r="E564" s="1">
        <f t="shared" si="8"/>
        <v>44962</v>
      </c>
      <c r="F564" s="51">
        <v>44962.573634259301</v>
      </c>
      <c r="G564" s="51">
        <v>44962.576898148101</v>
      </c>
      <c r="H564" s="52">
        <v>3.1944444444440001E-3</v>
      </c>
      <c r="I564">
        <v>13.76722240447998</v>
      </c>
      <c r="J564">
        <v>7658.3499294311896</v>
      </c>
      <c r="K564">
        <v>174.86495995424201</v>
      </c>
    </row>
    <row r="565" spans="1:11" x14ac:dyDescent="0.25">
      <c r="A565" t="s">
        <v>0</v>
      </c>
      <c r="B565">
        <f>VLOOKUP(C565,'[2]Ensaio 1'!$A$2:$F$28,6,FALSE)</f>
        <v>2</v>
      </c>
      <c r="C565" s="36">
        <v>960000003827747</v>
      </c>
      <c r="D565" s="36">
        <v>960000003827747</v>
      </c>
      <c r="E565" s="1">
        <f t="shared" si="8"/>
        <v>44962</v>
      </c>
      <c r="F565" s="51">
        <v>44962.667037036997</v>
      </c>
      <c r="G565" s="51">
        <v>44962.671134259297</v>
      </c>
      <c r="H565" s="52">
        <v>3.9583333333329997E-3</v>
      </c>
      <c r="I565">
        <v>16.008888244628906</v>
      </c>
      <c r="J565">
        <v>7877.8546512328403</v>
      </c>
      <c r="K565">
        <v>184.260926939656</v>
      </c>
    </row>
    <row r="566" spans="1:11" x14ac:dyDescent="0.25">
      <c r="A566" t="s">
        <v>0</v>
      </c>
      <c r="B566">
        <f>VLOOKUP(C566,'[2]Ensaio 1'!$A$2:$F$28,6,FALSE)</f>
        <v>2</v>
      </c>
      <c r="C566" s="36">
        <v>900248002084301</v>
      </c>
      <c r="D566" s="36">
        <v>900248002084301</v>
      </c>
      <c r="E566" s="1">
        <f t="shared" si="8"/>
        <v>44962</v>
      </c>
      <c r="F566" s="51">
        <v>44962.674548611103</v>
      </c>
      <c r="G566" s="51">
        <v>44962.677430555603</v>
      </c>
      <c r="H566" s="52">
        <v>2.8472222222219999E-3</v>
      </c>
      <c r="I566">
        <v>16.189167022705078</v>
      </c>
      <c r="J566">
        <v>9176.7650948795508</v>
      </c>
      <c r="K566">
        <v>162.092517562631</v>
      </c>
    </row>
    <row r="567" spans="1:11" x14ac:dyDescent="0.25">
      <c r="A567" t="s">
        <v>0</v>
      </c>
      <c r="B567">
        <f>VLOOKUP(C567,'[2]Ensaio 1'!$A$2:$F$28,6,FALSE)</f>
        <v>2</v>
      </c>
      <c r="C567" s="36">
        <v>900248002085907</v>
      </c>
      <c r="D567" s="36">
        <v>900248002085907</v>
      </c>
      <c r="E567" s="1">
        <f t="shared" si="8"/>
        <v>44962</v>
      </c>
      <c r="F567" s="51">
        <v>44962.759375000001</v>
      </c>
      <c r="G567" s="51">
        <v>44962.761006944398</v>
      </c>
      <c r="H567" s="52">
        <v>1.5972222222220001E-3</v>
      </c>
      <c r="I567">
        <v>18.225000381469727</v>
      </c>
      <c r="J567">
        <v>11458.8451887754</v>
      </c>
      <c r="K567">
        <v>183.849340974059</v>
      </c>
    </row>
    <row r="568" spans="1:11" x14ac:dyDescent="0.25">
      <c r="A568" t="s">
        <v>0</v>
      </c>
      <c r="B568">
        <f>VLOOKUP(C568,'[2]Ensaio 1'!$A$2:$F$28,6,FALSE)</f>
        <v>2</v>
      </c>
      <c r="C568" s="36">
        <v>960000003516311</v>
      </c>
      <c r="D568" s="36">
        <v>960000003516311</v>
      </c>
      <c r="E568" s="1">
        <f t="shared" si="8"/>
        <v>44962</v>
      </c>
      <c r="F568" s="51">
        <v>44962.784583333298</v>
      </c>
      <c r="G568" s="51">
        <v>44962.786145833299</v>
      </c>
      <c r="H568" s="52">
        <v>1.5277777777779999E-3</v>
      </c>
      <c r="I568">
        <v>18.829999923706055</v>
      </c>
      <c r="J568">
        <v>8119.7149867036196</v>
      </c>
      <c r="K568">
        <v>158.16316259425901</v>
      </c>
    </row>
    <row r="569" spans="1:11" x14ac:dyDescent="0.25">
      <c r="A569" t="s">
        <v>0</v>
      </c>
      <c r="B569">
        <f>VLOOKUP(C569,'[2]Ensaio 1'!$A$2:$F$28,6,FALSE)</f>
        <v>2</v>
      </c>
      <c r="C569" s="36">
        <v>960000003688457</v>
      </c>
      <c r="D569" s="36">
        <v>960000003688457</v>
      </c>
      <c r="E569" s="1">
        <f t="shared" si="8"/>
        <v>44962</v>
      </c>
      <c r="F569" s="51">
        <v>44962.801006944399</v>
      </c>
      <c r="G569" s="51">
        <v>44962.804479166698</v>
      </c>
      <c r="H569" s="52">
        <v>3.3912037037040002E-3</v>
      </c>
      <c r="I569">
        <v>19.224166870117188</v>
      </c>
      <c r="J569">
        <v>8761.2803261616009</v>
      </c>
      <c r="K569">
        <v>249.86447804245299</v>
      </c>
    </row>
    <row r="570" spans="1:11" x14ac:dyDescent="0.25">
      <c r="A570" t="s">
        <v>0</v>
      </c>
      <c r="B570">
        <f>VLOOKUP(C570,'[2]Ensaio 1'!$A$2:$F$28,6,FALSE)</f>
        <v>2</v>
      </c>
      <c r="C570" s="36">
        <v>900248002084301</v>
      </c>
      <c r="D570" s="36">
        <v>900248002084301</v>
      </c>
      <c r="E570" s="1">
        <f t="shared" si="8"/>
        <v>44962</v>
      </c>
      <c r="F570" s="51">
        <v>44962.9694212963</v>
      </c>
      <c r="G570" s="51">
        <v>44962.973530092597</v>
      </c>
      <c r="H570" s="52">
        <v>2.731481481481E-3</v>
      </c>
      <c r="I570">
        <v>23.266111373901367</v>
      </c>
      <c r="J570">
        <v>9101.97296166249</v>
      </c>
      <c r="K570">
        <v>111.758963839167</v>
      </c>
    </row>
    <row r="571" spans="1:11" x14ac:dyDescent="0.25">
      <c r="A571" t="s">
        <v>0</v>
      </c>
      <c r="B571">
        <f>VLOOKUP(C571,'[2]Ensaio 1'!$A$2:$F$28,6,FALSE)</f>
        <v>2</v>
      </c>
      <c r="C571" s="36">
        <v>900248002085907</v>
      </c>
      <c r="D571" s="36">
        <v>900248002085907</v>
      </c>
      <c r="E571" s="1">
        <f t="shared" si="8"/>
        <v>44963</v>
      </c>
      <c r="F571" s="51">
        <v>44963.010717592602</v>
      </c>
      <c r="G571" s="51">
        <v>44963.013275463003</v>
      </c>
      <c r="H571" s="52">
        <v>2.4189814814810002E-3</v>
      </c>
      <c r="I571">
        <v>0.25722223520278897</v>
      </c>
      <c r="J571">
        <v>8892.0545805555503</v>
      </c>
      <c r="K571">
        <v>241.44929220485199</v>
      </c>
    </row>
    <row r="572" spans="1:11" x14ac:dyDescent="0.25">
      <c r="A572" t="s">
        <v>0</v>
      </c>
      <c r="B572">
        <f>VLOOKUP(C572,'[2]Ensaio 1'!$A$2:$F$28,6,FALSE)</f>
        <v>2</v>
      </c>
      <c r="C572" s="36">
        <v>960000003688457</v>
      </c>
      <c r="D572" s="36">
        <v>960000003688457</v>
      </c>
      <c r="E572" s="1">
        <f t="shared" si="8"/>
        <v>44963</v>
      </c>
      <c r="F572" s="51">
        <v>44963.045011574097</v>
      </c>
      <c r="G572" s="51">
        <v>44963.048229166699</v>
      </c>
      <c r="H572" s="52">
        <v>3.1481481481479999E-3</v>
      </c>
      <c r="I572">
        <v>1.080277800559998</v>
      </c>
      <c r="J572">
        <v>9154.6554229532794</v>
      </c>
      <c r="K572">
        <v>193.71417951135101</v>
      </c>
    </row>
    <row r="573" spans="1:11" x14ac:dyDescent="0.25">
      <c r="A573" t="s">
        <v>0</v>
      </c>
      <c r="B573">
        <f>VLOOKUP(C573,'[2]Ensaio 1'!$A$2:$F$28,6,FALSE)</f>
        <v>2</v>
      </c>
      <c r="C573" s="36">
        <v>900248002084301</v>
      </c>
      <c r="D573" s="36">
        <v>900248002084301</v>
      </c>
      <c r="E573" s="1">
        <f t="shared" si="8"/>
        <v>44963</v>
      </c>
      <c r="F573" s="51">
        <v>44963.050601851799</v>
      </c>
      <c r="G573" s="51">
        <v>44963.053715277798</v>
      </c>
      <c r="H573" s="52">
        <v>3.0555555555559998E-3</v>
      </c>
      <c r="I573">
        <v>1.2144443988800051</v>
      </c>
      <c r="J573">
        <v>9206.7635217266106</v>
      </c>
      <c r="K573">
        <v>127.608881337572</v>
      </c>
    </row>
    <row r="574" spans="1:11" x14ac:dyDescent="0.25">
      <c r="A574" t="s">
        <v>0</v>
      </c>
      <c r="B574">
        <f>VLOOKUP(C574,'[2]Ensaio 1'!$A$2:$F$28,6,FALSE)</f>
        <v>2</v>
      </c>
      <c r="C574" s="36">
        <v>960000003516311</v>
      </c>
      <c r="D574" s="36">
        <v>960000003516311</v>
      </c>
      <c r="E574" s="1">
        <f t="shared" si="8"/>
        <v>44963</v>
      </c>
      <c r="F574" s="51">
        <v>44963.057974536998</v>
      </c>
      <c r="G574" s="51">
        <v>44963.061006944401</v>
      </c>
      <c r="H574" s="52">
        <v>2.8819444444439998E-3</v>
      </c>
      <c r="I574">
        <v>1.391388893127441</v>
      </c>
      <c r="J574">
        <v>7958.7390610414004</v>
      </c>
      <c r="K574">
        <v>102.944360189657</v>
      </c>
    </row>
    <row r="575" spans="1:11" x14ac:dyDescent="0.25">
      <c r="A575" t="s">
        <v>0</v>
      </c>
      <c r="B575">
        <f>VLOOKUP(C575,'[2]Ensaio 1'!$A$2:$F$28,6,FALSE)</f>
        <v>2</v>
      </c>
      <c r="C575" s="36">
        <v>960000003827747</v>
      </c>
      <c r="D575" s="36">
        <v>960000003827747</v>
      </c>
      <c r="E575" s="1">
        <f t="shared" si="8"/>
        <v>44963</v>
      </c>
      <c r="F575" s="51">
        <v>44963.102071759298</v>
      </c>
      <c r="G575" s="51">
        <v>44963.106145833299</v>
      </c>
      <c r="H575" s="52">
        <v>3.7962962962960001E-3</v>
      </c>
      <c r="I575">
        <v>2.4497222900390621</v>
      </c>
      <c r="J575">
        <v>8353.3159105459308</v>
      </c>
      <c r="K575">
        <v>177.662707595726</v>
      </c>
    </row>
    <row r="576" spans="1:11" x14ac:dyDescent="0.25">
      <c r="A576" t="s">
        <v>0</v>
      </c>
      <c r="B576">
        <f>VLOOKUP(C576,'[2]Ensaio 1'!$A$2:$F$28,6,FALSE)</f>
        <v>2</v>
      </c>
      <c r="C576" s="36">
        <v>900248002084301</v>
      </c>
      <c r="D576" s="36">
        <v>900248002084301</v>
      </c>
      <c r="E576" s="1">
        <f t="shared" si="8"/>
        <v>44963</v>
      </c>
      <c r="F576" s="51">
        <v>44963.296863425901</v>
      </c>
      <c r="G576" s="51">
        <v>44963.300138888902</v>
      </c>
      <c r="H576" s="52">
        <v>3.2175925925929999E-3</v>
      </c>
      <c r="I576">
        <v>7.1247220039367676</v>
      </c>
      <c r="J576">
        <v>8361.4197530895308</v>
      </c>
      <c r="K576">
        <v>87.356430817594102</v>
      </c>
    </row>
    <row r="577" spans="1:11" x14ac:dyDescent="0.25">
      <c r="A577" t="s">
        <v>0</v>
      </c>
      <c r="B577">
        <f>VLOOKUP(C577,'[2]Ensaio 1'!$A$2:$F$28,6,FALSE)</f>
        <v>2</v>
      </c>
      <c r="C577" s="36">
        <v>960000003516311</v>
      </c>
      <c r="D577" s="36">
        <v>960000003516311</v>
      </c>
      <c r="E577" s="1">
        <f t="shared" si="8"/>
        <v>44963</v>
      </c>
      <c r="F577" s="51">
        <v>44963.308993055602</v>
      </c>
      <c r="G577" s="51">
        <v>44963.3121412037</v>
      </c>
      <c r="H577" s="52">
        <v>2.9282407407410001E-3</v>
      </c>
      <c r="I577">
        <v>7.4158334732055664</v>
      </c>
      <c r="J577">
        <v>7328.2219462232197</v>
      </c>
      <c r="K577">
        <v>84.446501506591403</v>
      </c>
    </row>
    <row r="578" spans="1:11" x14ac:dyDescent="0.25">
      <c r="A578" t="s">
        <v>0</v>
      </c>
      <c r="B578">
        <f>VLOOKUP(C578,'[2]Ensaio 1'!$A$2:$F$28,6,FALSE)</f>
        <v>2</v>
      </c>
      <c r="C578" s="36">
        <v>900248002085907</v>
      </c>
      <c r="D578" s="36">
        <v>900248002085907</v>
      </c>
      <c r="E578" s="1">
        <f t="shared" ref="E578:E641" si="9">ROUNDDOWN(LEFT(F578,10),0)</f>
        <v>44963</v>
      </c>
      <c r="F578" s="51">
        <v>44963.323969907397</v>
      </c>
      <c r="G578" s="51">
        <v>44963.327106481498</v>
      </c>
      <c r="H578" s="52">
        <v>3.0092592592589999E-3</v>
      </c>
      <c r="I578">
        <v>7.7752776145935059</v>
      </c>
      <c r="J578">
        <v>8753.4795126944791</v>
      </c>
      <c r="K578">
        <v>171.81213389897101</v>
      </c>
    </row>
    <row r="579" spans="1:11" x14ac:dyDescent="0.25">
      <c r="A579" t="s">
        <v>0</v>
      </c>
      <c r="B579">
        <f>VLOOKUP(C579,'[2]Ensaio 1'!$A$2:$F$28,6,FALSE)</f>
        <v>2</v>
      </c>
      <c r="C579" s="36">
        <v>960000003688457</v>
      </c>
      <c r="D579" s="36">
        <v>960000003688457</v>
      </c>
      <c r="E579" s="1">
        <f t="shared" si="9"/>
        <v>44963</v>
      </c>
      <c r="F579" s="51">
        <v>44963.327893518501</v>
      </c>
      <c r="G579" s="51">
        <v>44963.332129629598</v>
      </c>
      <c r="H579" s="52">
        <v>3.541666666667E-3</v>
      </c>
      <c r="I579">
        <v>7.8694443702697754</v>
      </c>
      <c r="J579">
        <v>6968.2807372745801</v>
      </c>
      <c r="K579">
        <v>185.66055700268501</v>
      </c>
    </row>
    <row r="580" spans="1:11" x14ac:dyDescent="0.25">
      <c r="A580" t="s">
        <v>0</v>
      </c>
      <c r="B580">
        <f>VLOOKUP(C580,'[2]Ensaio 1'!$A$2:$F$28,6,FALSE)</f>
        <v>2</v>
      </c>
      <c r="C580" s="36">
        <v>960000003827747</v>
      </c>
      <c r="D580" s="36">
        <v>960000003827747</v>
      </c>
      <c r="E580" s="1">
        <f t="shared" si="9"/>
        <v>44963</v>
      </c>
      <c r="F580" s="51">
        <v>44963.346145833297</v>
      </c>
      <c r="G580" s="51">
        <v>44963.349687499998</v>
      </c>
      <c r="H580" s="52">
        <v>3.3449074074069999E-3</v>
      </c>
      <c r="I580">
        <v>8.307499885559082</v>
      </c>
      <c r="J580">
        <v>7728.9204574325704</v>
      </c>
      <c r="K580">
        <v>159.81095616661599</v>
      </c>
    </row>
    <row r="581" spans="1:11" x14ac:dyDescent="0.25">
      <c r="A581" t="s">
        <v>0</v>
      </c>
      <c r="B581">
        <f>VLOOKUP(C581,'[2]Ensaio 1'!$A$2:$F$28,6,FALSE)</f>
        <v>2</v>
      </c>
      <c r="C581" s="36">
        <v>960000003688457</v>
      </c>
      <c r="D581" s="36">
        <v>960000003688457</v>
      </c>
      <c r="E581" s="1">
        <f t="shared" si="9"/>
        <v>44963</v>
      </c>
      <c r="F581" s="51">
        <v>44963.350601851896</v>
      </c>
      <c r="G581" s="51">
        <v>44963.3520601852</v>
      </c>
      <c r="H581" s="52">
        <v>1.435185185185E-3</v>
      </c>
      <c r="I581">
        <v>8.4144439697265625</v>
      </c>
      <c r="J581">
        <v>6973.5785600570998</v>
      </c>
      <c r="K581">
        <v>150.103516235603</v>
      </c>
    </row>
    <row r="582" spans="1:11" x14ac:dyDescent="0.25">
      <c r="A582" t="s">
        <v>0</v>
      </c>
      <c r="B582">
        <f>VLOOKUP(C582,'[2]Ensaio 1'!$A$2:$F$28,6,FALSE)</f>
        <v>2</v>
      </c>
      <c r="C582" s="36">
        <v>960000003827747</v>
      </c>
      <c r="D582" s="36">
        <v>960000003827747</v>
      </c>
      <c r="E582" s="1">
        <f t="shared" si="9"/>
        <v>44963</v>
      </c>
      <c r="F582" s="51">
        <v>44963.572037037004</v>
      </c>
      <c r="G582" s="51">
        <v>44963.575196759302</v>
      </c>
      <c r="H582" s="52">
        <v>3.032407407407E-3</v>
      </c>
      <c r="I582">
        <v>13.728888511657715</v>
      </c>
      <c r="J582">
        <v>7698.5622121605602</v>
      </c>
      <c r="K582">
        <v>171.801241966253</v>
      </c>
    </row>
    <row r="583" spans="1:11" x14ac:dyDescent="0.25">
      <c r="A583" t="s">
        <v>0</v>
      </c>
      <c r="B583">
        <f>VLOOKUP(C583,'[2]Ensaio 1'!$A$2:$F$28,6,FALSE)</f>
        <v>2</v>
      </c>
      <c r="C583" s="36">
        <v>900248002084301</v>
      </c>
      <c r="D583" s="36">
        <v>900248002084301</v>
      </c>
      <c r="E583" s="1">
        <f t="shared" si="9"/>
        <v>44963</v>
      </c>
      <c r="F583" s="51">
        <v>44963.608310185198</v>
      </c>
      <c r="G583" s="51">
        <v>44963.611342592601</v>
      </c>
      <c r="H583" s="52">
        <v>2.372685185185E-3</v>
      </c>
      <c r="I583">
        <v>14.599444389343262</v>
      </c>
      <c r="J583">
        <v>8076.0802369569001</v>
      </c>
      <c r="K583">
        <v>111.72045095332101</v>
      </c>
    </row>
    <row r="584" spans="1:11" x14ac:dyDescent="0.25">
      <c r="A584" t="s">
        <v>0</v>
      </c>
      <c r="B584">
        <f>VLOOKUP(C584,'[2]Ensaio 1'!$A$2:$F$28,6,FALSE)</f>
        <v>2</v>
      </c>
      <c r="C584" s="36">
        <v>960000003516311</v>
      </c>
      <c r="D584" s="36">
        <v>960000003516311</v>
      </c>
      <c r="E584" s="1">
        <f t="shared" si="9"/>
        <v>44963</v>
      </c>
      <c r="F584" s="51">
        <v>44963.611736111103</v>
      </c>
      <c r="G584" s="51">
        <v>44963.616319444402</v>
      </c>
      <c r="H584" s="52">
        <v>3.4837962962959998E-3</v>
      </c>
      <c r="I584">
        <v>14.681666374206543</v>
      </c>
      <c r="J584">
        <v>6939.9859525348902</v>
      </c>
      <c r="K584">
        <v>83.758559351938601</v>
      </c>
    </row>
    <row r="585" spans="1:11" x14ac:dyDescent="0.25">
      <c r="A585" t="s">
        <v>0</v>
      </c>
      <c r="B585">
        <f>VLOOKUP(C585,'[2]Ensaio 1'!$A$2:$F$28,6,FALSE)</f>
        <v>2</v>
      </c>
      <c r="C585" s="36">
        <v>960000003688457</v>
      </c>
      <c r="D585" s="36">
        <v>960000003688457</v>
      </c>
      <c r="E585" s="1">
        <f t="shared" si="9"/>
        <v>44963</v>
      </c>
      <c r="F585" s="51">
        <v>44963.6186689815</v>
      </c>
      <c r="G585" s="51">
        <v>44963.621550925898</v>
      </c>
      <c r="H585" s="52">
        <v>2.835648148148E-3</v>
      </c>
      <c r="I585">
        <v>14.848055839538574</v>
      </c>
      <c r="J585">
        <v>7323.3409539148597</v>
      </c>
      <c r="K585">
        <v>141.50701550590699</v>
      </c>
    </row>
    <row r="586" spans="1:11" x14ac:dyDescent="0.25">
      <c r="A586" t="s">
        <v>0</v>
      </c>
      <c r="B586">
        <f>VLOOKUP(C586,'[2]Ensaio 1'!$A$2:$F$28,6,FALSE)</f>
        <v>2</v>
      </c>
      <c r="C586" s="36">
        <v>900248002085907</v>
      </c>
      <c r="D586" s="36">
        <v>900248002085907</v>
      </c>
      <c r="E586" s="1">
        <f t="shared" si="9"/>
        <v>44963</v>
      </c>
      <c r="F586" s="51">
        <v>44963.634895833296</v>
      </c>
      <c r="G586" s="51">
        <v>44963.638217592597</v>
      </c>
      <c r="H586" s="52">
        <v>3.1597222222220001E-3</v>
      </c>
      <c r="I586">
        <v>15.237500190734863</v>
      </c>
      <c r="J586">
        <v>9114.9029430790106</v>
      </c>
      <c r="K586">
        <v>218.629971081733</v>
      </c>
    </row>
    <row r="587" spans="1:11" x14ac:dyDescent="0.25">
      <c r="A587" t="s">
        <v>0</v>
      </c>
      <c r="B587">
        <f>VLOOKUP(C587,'[2]Ensaio 1'!$A$2:$F$28,6,FALSE)</f>
        <v>2</v>
      </c>
      <c r="C587" s="36">
        <v>900248002084301</v>
      </c>
      <c r="D587" s="36">
        <v>900248002084301</v>
      </c>
      <c r="E587" s="1">
        <f t="shared" si="9"/>
        <v>44963</v>
      </c>
      <c r="F587" s="51">
        <v>44963.877569444398</v>
      </c>
      <c r="G587" s="51">
        <v>44963.882569444402</v>
      </c>
      <c r="H587" s="52">
        <v>2.974537037037E-3</v>
      </c>
      <c r="I587">
        <v>21.061666488647461</v>
      </c>
      <c r="J587">
        <v>9298.7249569171308</v>
      </c>
      <c r="K587">
        <v>262.348391118309</v>
      </c>
    </row>
    <row r="588" spans="1:11" x14ac:dyDescent="0.25">
      <c r="A588" t="s">
        <v>0</v>
      </c>
      <c r="B588">
        <f>VLOOKUP(C588,'[2]Ensaio 1'!$A$2:$F$28,6,FALSE)</f>
        <v>2</v>
      </c>
      <c r="C588" s="36">
        <v>960000003688457</v>
      </c>
      <c r="D588" s="36">
        <v>960000003688457</v>
      </c>
      <c r="E588" s="1">
        <f t="shared" si="9"/>
        <v>44963</v>
      </c>
      <c r="F588" s="51">
        <v>44963.911562499998</v>
      </c>
      <c r="G588" s="51">
        <v>44963.9145138889</v>
      </c>
      <c r="H588" s="52">
        <v>2.4652777777780001E-3</v>
      </c>
      <c r="I588">
        <v>21.877500534057617</v>
      </c>
      <c r="J588">
        <v>10101.878075229301</v>
      </c>
      <c r="K588">
        <v>238.12726149464899</v>
      </c>
    </row>
    <row r="589" spans="1:11" x14ac:dyDescent="0.25">
      <c r="A589" t="s">
        <v>0</v>
      </c>
      <c r="B589">
        <f>VLOOKUP(C589,'[2]Ensaio 1'!$A$2:$F$28,6,FALSE)</f>
        <v>2</v>
      </c>
      <c r="C589" s="36">
        <v>960000003516311</v>
      </c>
      <c r="D589" s="36">
        <v>960000003516311</v>
      </c>
      <c r="E589" s="1">
        <f t="shared" si="9"/>
        <v>44963</v>
      </c>
      <c r="F589" s="51">
        <v>44963.931851851798</v>
      </c>
      <c r="G589" s="51">
        <v>44963.936006944401</v>
      </c>
      <c r="H589" s="52">
        <v>2.8819444444439998E-3</v>
      </c>
      <c r="I589">
        <v>22.364444732666016</v>
      </c>
      <c r="J589">
        <v>9378.7385909861605</v>
      </c>
      <c r="K589">
        <v>176.51151641685399</v>
      </c>
    </row>
    <row r="590" spans="1:11" x14ac:dyDescent="0.25">
      <c r="A590" t="s">
        <v>0</v>
      </c>
      <c r="B590">
        <f>VLOOKUP(C590,'[2]Ensaio 1'!$A$2:$F$28,6,FALSE)</f>
        <v>2</v>
      </c>
      <c r="C590" s="36">
        <v>960000003827747</v>
      </c>
      <c r="D590" s="36">
        <v>960000003827747</v>
      </c>
      <c r="E590" s="1">
        <f t="shared" si="9"/>
        <v>44963</v>
      </c>
      <c r="F590" s="51">
        <v>44963.956782407397</v>
      </c>
      <c r="G590" s="51">
        <v>44963.960208333301</v>
      </c>
      <c r="H590" s="52">
        <v>2.6851851851849998E-3</v>
      </c>
      <c r="I590">
        <v>22.962778091430664</v>
      </c>
      <c r="J590">
        <v>8741.2991193339403</v>
      </c>
      <c r="K590">
        <v>146.96500509087099</v>
      </c>
    </row>
    <row r="591" spans="1:11" x14ac:dyDescent="0.25">
      <c r="A591" t="s">
        <v>0</v>
      </c>
      <c r="B591">
        <f>VLOOKUP(C591,'[2]Ensaio 1'!$A$2:$F$28,6,FALSE)</f>
        <v>2</v>
      </c>
      <c r="C591" s="36">
        <v>900248002085907</v>
      </c>
      <c r="D591" s="36">
        <v>900248002085907</v>
      </c>
      <c r="E591" s="1">
        <f t="shared" si="9"/>
        <v>44963</v>
      </c>
      <c r="F591" s="51">
        <v>44963.969050925902</v>
      </c>
      <c r="G591" s="51">
        <v>44963.973854166703</v>
      </c>
      <c r="H591" s="52">
        <v>2.8124999999999999E-3</v>
      </c>
      <c r="I591">
        <v>23.257223129272461</v>
      </c>
      <c r="J591">
        <v>8853.6227626427008</v>
      </c>
      <c r="K591">
        <v>300.46967026264002</v>
      </c>
    </row>
    <row r="592" spans="1:11" x14ac:dyDescent="0.25">
      <c r="A592" t="s">
        <v>0</v>
      </c>
      <c r="B592">
        <f>VLOOKUP(C592,'[2]Ensaio 1'!$A$2:$F$28,6,FALSE)</f>
        <v>2</v>
      </c>
      <c r="C592" s="36">
        <v>900248002084301</v>
      </c>
      <c r="D592" s="36">
        <v>900248002084301</v>
      </c>
      <c r="E592" s="1">
        <f t="shared" si="9"/>
        <v>44964</v>
      </c>
      <c r="F592" s="51">
        <v>44964.004861111098</v>
      </c>
      <c r="G592" s="51">
        <v>44964.008229166699</v>
      </c>
      <c r="H592" s="52">
        <v>3.240740740741E-3</v>
      </c>
      <c r="I592">
        <v>0.116666667163372</v>
      </c>
      <c r="J592">
        <v>10836.6498875898</v>
      </c>
      <c r="K592">
        <v>202.03036658949699</v>
      </c>
    </row>
    <row r="593" spans="1:11" x14ac:dyDescent="0.25">
      <c r="A593" t="s">
        <v>0</v>
      </c>
      <c r="B593">
        <f>VLOOKUP(C593,'[2]Ensaio 1'!$A$2:$F$28,6,FALSE)</f>
        <v>2</v>
      </c>
      <c r="C593" s="36">
        <v>960000003688457</v>
      </c>
      <c r="D593" s="36">
        <v>960000003688457</v>
      </c>
      <c r="E593" s="1">
        <f t="shared" si="9"/>
        <v>44964</v>
      </c>
      <c r="F593" s="51">
        <v>44964.0101041667</v>
      </c>
      <c r="G593" s="51">
        <v>44964.013807870397</v>
      </c>
      <c r="H593" s="52">
        <v>3.275462962963E-3</v>
      </c>
      <c r="I593">
        <v>0.24250000715255701</v>
      </c>
      <c r="J593">
        <v>7803.3164374887901</v>
      </c>
      <c r="K593">
        <v>169.591005739011</v>
      </c>
    </row>
    <row r="594" spans="1:11" x14ac:dyDescent="0.25">
      <c r="A594" t="s">
        <v>0</v>
      </c>
      <c r="B594">
        <f>VLOOKUP(C594,'[2]Ensaio 1'!$A$2:$F$28,6,FALSE)</f>
        <v>2</v>
      </c>
      <c r="C594" s="36">
        <v>960000003516311</v>
      </c>
      <c r="D594" s="36">
        <v>960000003516311</v>
      </c>
      <c r="E594" s="1">
        <f t="shared" si="9"/>
        <v>44964</v>
      </c>
      <c r="F594" s="51">
        <v>44964.042083333297</v>
      </c>
      <c r="G594" s="51">
        <v>44964.045358796298</v>
      </c>
      <c r="H594" s="52">
        <v>3.1134259259259999E-3</v>
      </c>
      <c r="I594">
        <v>1.0099999904632571</v>
      </c>
      <c r="J594">
        <v>7956.3099999300503</v>
      </c>
      <c r="K594">
        <v>133.868148048732</v>
      </c>
    </row>
    <row r="595" spans="1:11" x14ac:dyDescent="0.25">
      <c r="A595" t="s">
        <v>0</v>
      </c>
      <c r="B595">
        <f>VLOOKUP(C595,'[2]Ensaio 1'!$A$2:$F$28,6,FALSE)</f>
        <v>2</v>
      </c>
      <c r="C595" s="36">
        <v>900248002085907</v>
      </c>
      <c r="D595" s="36">
        <v>900248002085907</v>
      </c>
      <c r="E595" s="1">
        <f t="shared" si="9"/>
        <v>44964</v>
      </c>
      <c r="F595" s="51">
        <v>44964.054050925901</v>
      </c>
      <c r="G595" s="51">
        <v>44964.057094907403</v>
      </c>
      <c r="H595" s="52">
        <v>2.7546296296299998E-3</v>
      </c>
      <c r="I595">
        <v>1.297222256660461</v>
      </c>
      <c r="J595">
        <v>9194.1615674860204</v>
      </c>
      <c r="K595">
        <v>212.692637526662</v>
      </c>
    </row>
    <row r="596" spans="1:11" x14ac:dyDescent="0.25">
      <c r="A596" t="s">
        <v>0</v>
      </c>
      <c r="B596">
        <f>VLOOKUP(C596,'[2]Ensaio 1'!$A$2:$F$28,6,FALSE)</f>
        <v>2</v>
      </c>
      <c r="C596" s="36">
        <v>960000003827747</v>
      </c>
      <c r="D596" s="36">
        <v>960000003827747</v>
      </c>
      <c r="E596" s="1">
        <f t="shared" si="9"/>
        <v>44964</v>
      </c>
      <c r="F596" s="51">
        <v>44964.112048611103</v>
      </c>
      <c r="G596" s="51">
        <v>44964.114305555602</v>
      </c>
      <c r="H596" s="52">
        <v>1.8749999999999999E-3</v>
      </c>
      <c r="I596">
        <v>2.689166784286499</v>
      </c>
      <c r="J596">
        <v>8075.0473867278697</v>
      </c>
      <c r="K596">
        <v>149.49893479681401</v>
      </c>
    </row>
    <row r="597" spans="1:11" x14ac:dyDescent="0.25">
      <c r="A597" t="s">
        <v>0</v>
      </c>
      <c r="B597">
        <f>VLOOKUP(C597,'[2]Ensaio 1'!$A$2:$F$28,6,FALSE)</f>
        <v>2</v>
      </c>
      <c r="C597" s="36">
        <v>900248002084301</v>
      </c>
      <c r="D597" s="36">
        <v>900248002084301</v>
      </c>
      <c r="E597" s="1">
        <f t="shared" si="9"/>
        <v>44964</v>
      </c>
      <c r="F597" s="51">
        <v>44964.280659722201</v>
      </c>
      <c r="G597" s="51">
        <v>44964.2839930556</v>
      </c>
      <c r="H597" s="52">
        <v>3.2638888888890001E-3</v>
      </c>
      <c r="I597">
        <v>6.7358331680297852</v>
      </c>
      <c r="J597">
        <v>7612.8538279684299</v>
      </c>
      <c r="K597">
        <v>156.01140522157601</v>
      </c>
    </row>
    <row r="598" spans="1:11" x14ac:dyDescent="0.25">
      <c r="A598" t="s">
        <v>0</v>
      </c>
      <c r="B598">
        <f>VLOOKUP(C598,'[2]Ensaio 1'!$A$2:$F$28,6,FALSE)</f>
        <v>2</v>
      </c>
      <c r="C598" s="36">
        <v>960000003516311</v>
      </c>
      <c r="D598" s="36">
        <v>960000003516311</v>
      </c>
      <c r="E598" s="1">
        <f t="shared" si="9"/>
        <v>44964</v>
      </c>
      <c r="F598" s="51">
        <v>44964.284282407403</v>
      </c>
      <c r="G598" s="51">
        <v>44964.287974537001</v>
      </c>
      <c r="H598" s="52">
        <v>2.835648148148E-3</v>
      </c>
      <c r="I598">
        <v>6.8227777481079102</v>
      </c>
      <c r="J598">
        <v>6854.3845689832197</v>
      </c>
      <c r="K598">
        <v>126.583120287086</v>
      </c>
    </row>
    <row r="599" spans="1:11" x14ac:dyDescent="0.25">
      <c r="A599" t="s">
        <v>0</v>
      </c>
      <c r="B599">
        <f>VLOOKUP(C599,'[2]Ensaio 1'!$A$2:$F$28,6,FALSE)</f>
        <v>2</v>
      </c>
      <c r="C599" s="36">
        <v>900248002085907</v>
      </c>
      <c r="D599" s="36">
        <v>900248002085907</v>
      </c>
      <c r="E599" s="1">
        <f t="shared" si="9"/>
        <v>44964</v>
      </c>
      <c r="F599" s="51">
        <v>44964.297268518501</v>
      </c>
      <c r="G599" s="51">
        <v>44964.300428240698</v>
      </c>
      <c r="H599" s="52">
        <v>3.0208333333330002E-3</v>
      </c>
      <c r="I599">
        <v>7.1344442367553711</v>
      </c>
      <c r="J599">
        <v>9847.13281608139</v>
      </c>
      <c r="K599">
        <v>180.67569959629299</v>
      </c>
    </row>
    <row r="600" spans="1:11" x14ac:dyDescent="0.25">
      <c r="A600" t="str">
        <f>VLOOKUP(C600,'[2]Ensaio 1'!$A$2:$E$28,5,FALSE)</f>
        <v>Control</v>
      </c>
      <c r="B600">
        <f>VLOOKUP(C600,'[2]Ensaio 1'!$A$2:$F$28,6,FALSE)</f>
        <v>3</v>
      </c>
      <c r="C600" s="36">
        <v>960000003664778</v>
      </c>
      <c r="D600" s="36">
        <v>960000003664778</v>
      </c>
      <c r="E600" s="1">
        <f t="shared" si="9"/>
        <v>44964</v>
      </c>
      <c r="F600" s="51">
        <v>44964.363159722197</v>
      </c>
      <c r="G600" s="51">
        <v>44964.367291666698</v>
      </c>
      <c r="H600" s="52">
        <v>3.6111111111109999E-3</v>
      </c>
      <c r="I600">
        <v>8.7158336639404297</v>
      </c>
      <c r="J600">
        <v>8562.7458805300394</v>
      </c>
      <c r="K600">
        <v>105.987847903557</v>
      </c>
    </row>
    <row r="601" spans="1:11" x14ac:dyDescent="0.25">
      <c r="A601" t="str">
        <f>VLOOKUP(C601,'[2]Ensaio 1'!$A$2:$E$28,5,FALSE)</f>
        <v>Control</v>
      </c>
      <c r="B601">
        <f>VLOOKUP(C601,'[2]Ensaio 1'!$A$2:$F$28,6,FALSE)</f>
        <v>3</v>
      </c>
      <c r="C601" s="36">
        <v>960000003608633</v>
      </c>
      <c r="D601" s="36">
        <v>960000003608633</v>
      </c>
      <c r="E601" s="1">
        <f t="shared" si="9"/>
        <v>44964</v>
      </c>
      <c r="F601" s="51">
        <v>44964.370462963001</v>
      </c>
      <c r="G601" s="51">
        <v>44964.373449074097</v>
      </c>
      <c r="H601" s="52">
        <v>2.9282407407410001E-3</v>
      </c>
      <c r="I601">
        <v>8.8911113739013672</v>
      </c>
      <c r="J601">
        <v>10852.9903990525</v>
      </c>
      <c r="K601">
        <v>144.87471163634299</v>
      </c>
    </row>
    <row r="602" spans="1:11" x14ac:dyDescent="0.25">
      <c r="A602" t="str">
        <f>VLOOKUP(C602,'[2]Ensaio 1'!$A$2:$E$28,5,FALSE)</f>
        <v>Control</v>
      </c>
      <c r="B602">
        <f>VLOOKUP(C602,'[2]Ensaio 1'!$A$2:$F$28,6,FALSE)</f>
        <v>3</v>
      </c>
      <c r="C602" s="36">
        <v>960000003688522</v>
      </c>
      <c r="D602" s="36">
        <v>960000003688522</v>
      </c>
      <c r="E602" s="1">
        <f t="shared" si="9"/>
        <v>44964</v>
      </c>
      <c r="F602" s="51">
        <v>44964.374351851897</v>
      </c>
      <c r="G602" s="51">
        <v>44964.3797569444</v>
      </c>
      <c r="H602" s="52">
        <v>3.9583333333329997E-3</v>
      </c>
      <c r="I602">
        <v>8.9844446182250977</v>
      </c>
      <c r="J602">
        <v>9115.5880101820294</v>
      </c>
      <c r="K602">
        <v>127.145835418191</v>
      </c>
    </row>
    <row r="603" spans="1:11" x14ac:dyDescent="0.25">
      <c r="A603" t="str">
        <f>VLOOKUP(C603,'[2]Ensaio 1'!$A$2:$E$28,5,FALSE)</f>
        <v>Control</v>
      </c>
      <c r="B603">
        <f>VLOOKUP(C603,'[2]Ensaio 1'!$A$2:$F$28,6,FALSE)</f>
        <v>3</v>
      </c>
      <c r="C603" s="36">
        <v>900248002084626</v>
      </c>
      <c r="D603" s="36">
        <v>900248002084626</v>
      </c>
      <c r="E603" s="1">
        <f t="shared" si="9"/>
        <v>44964</v>
      </c>
      <c r="F603" s="51">
        <v>44964.381180555603</v>
      </c>
      <c r="G603" s="51">
        <v>44964.384687500002</v>
      </c>
      <c r="H603" s="52">
        <v>3.4375E-3</v>
      </c>
      <c r="I603">
        <v>9.1483335494995117</v>
      </c>
      <c r="J603">
        <v>9720.8666202167897</v>
      </c>
      <c r="K603">
        <v>117.139062226818</v>
      </c>
    </row>
    <row r="604" spans="1:11" x14ac:dyDescent="0.25">
      <c r="A604" t="str">
        <f>VLOOKUP(C604,'[2]Ensaio 1'!$A$2:$E$28,5,FALSE)</f>
        <v>Control</v>
      </c>
      <c r="B604">
        <f>VLOOKUP(C604,'[2]Ensaio 1'!$A$2:$F$28,6,FALSE)</f>
        <v>3</v>
      </c>
      <c r="C604" s="36">
        <v>960000003827766</v>
      </c>
      <c r="D604" s="36">
        <v>960000003827766</v>
      </c>
      <c r="E604" s="1">
        <f t="shared" si="9"/>
        <v>44964</v>
      </c>
      <c r="F604" s="51">
        <v>44964.387499999997</v>
      </c>
      <c r="G604" s="51">
        <v>44964.390798611101</v>
      </c>
      <c r="H604" s="52">
        <v>3.0787037037039999E-3</v>
      </c>
      <c r="I604">
        <v>9.3000001907348633</v>
      </c>
      <c r="J604">
        <v>10196.297824294101</v>
      </c>
      <c r="K604">
        <v>142.11490525661301</v>
      </c>
    </row>
    <row r="605" spans="1:11" x14ac:dyDescent="0.25">
      <c r="A605" t="str">
        <f>VLOOKUP(C605,'[2]Ensaio 1'!$A$2:$E$28,5,FALSE)</f>
        <v>Control</v>
      </c>
      <c r="B605">
        <f>VLOOKUP(C605,'[2]Ensaio 1'!$A$2:$F$28,6,FALSE)</f>
        <v>3</v>
      </c>
      <c r="C605" s="36">
        <v>960000003664778</v>
      </c>
      <c r="D605" s="36">
        <v>960000003664778</v>
      </c>
      <c r="E605" s="1">
        <f t="shared" si="9"/>
        <v>44964</v>
      </c>
      <c r="F605" s="51">
        <v>44964.586921296301</v>
      </c>
      <c r="G605" s="51">
        <v>44964.590231481503</v>
      </c>
      <c r="H605" s="52">
        <v>3.0902777777780002E-3</v>
      </c>
      <c r="I605">
        <v>14.086111068725586</v>
      </c>
      <c r="J605">
        <v>7507.8898603996904</v>
      </c>
      <c r="K605">
        <v>108.118601662492</v>
      </c>
    </row>
    <row r="606" spans="1:11" x14ac:dyDescent="0.25">
      <c r="A606" t="str">
        <f>VLOOKUP(C606,'[2]Ensaio 1'!$A$2:$E$28,5,FALSE)</f>
        <v>Control</v>
      </c>
      <c r="B606">
        <f>VLOOKUP(C606,'[2]Ensaio 1'!$A$2:$F$28,6,FALSE)</f>
        <v>3</v>
      </c>
      <c r="C606" s="36">
        <v>960000003688522</v>
      </c>
      <c r="D606" s="36">
        <v>960000003688522</v>
      </c>
      <c r="E606" s="1">
        <f t="shared" si="9"/>
        <v>44964</v>
      </c>
      <c r="F606" s="51">
        <v>44964.601342592599</v>
      </c>
      <c r="G606" s="51">
        <v>44964.606203703697</v>
      </c>
      <c r="H606" s="52">
        <v>4.3287037037040002E-3</v>
      </c>
      <c r="I606">
        <v>14.432222366333008</v>
      </c>
      <c r="J606">
        <v>7049.0807308123804</v>
      </c>
      <c r="K606">
        <v>107.508624925538</v>
      </c>
    </row>
    <row r="607" spans="1:11" x14ac:dyDescent="0.25">
      <c r="A607" t="str">
        <f>VLOOKUP(C607,'[2]Ensaio 1'!$A$2:$E$28,5,FALSE)</f>
        <v>Control</v>
      </c>
      <c r="B607">
        <f>VLOOKUP(C607,'[2]Ensaio 1'!$A$2:$F$28,6,FALSE)</f>
        <v>3</v>
      </c>
      <c r="C607" s="36">
        <v>960000003608633</v>
      </c>
      <c r="D607" s="36">
        <v>960000003608633</v>
      </c>
      <c r="E607" s="1">
        <f t="shared" si="9"/>
        <v>44964</v>
      </c>
      <c r="F607" s="51">
        <v>44964.636400463001</v>
      </c>
      <c r="G607" s="51">
        <v>44964.639780092599</v>
      </c>
      <c r="H607" s="52">
        <v>3.2175925925929999E-3</v>
      </c>
      <c r="I607">
        <v>15.273611068725586</v>
      </c>
      <c r="J607">
        <v>8144.2568197537003</v>
      </c>
      <c r="K607">
        <v>96.483931232232493</v>
      </c>
    </row>
    <row r="608" spans="1:11" x14ac:dyDescent="0.25">
      <c r="A608" t="str">
        <f>VLOOKUP(C608,'[2]Ensaio 1'!$A$2:$E$28,5,FALSE)</f>
        <v>Control</v>
      </c>
      <c r="B608">
        <f>VLOOKUP(C608,'[2]Ensaio 1'!$A$2:$F$28,6,FALSE)</f>
        <v>3</v>
      </c>
      <c r="C608" s="36">
        <v>960000003827766</v>
      </c>
      <c r="D608" s="36">
        <v>960000003827766</v>
      </c>
      <c r="E608" s="1">
        <f t="shared" si="9"/>
        <v>44964</v>
      </c>
      <c r="F608" s="51">
        <v>44964.645567129599</v>
      </c>
      <c r="G608" s="51">
        <v>44964.651863425897</v>
      </c>
      <c r="H608" s="52">
        <v>3.6805555555559999E-3</v>
      </c>
      <c r="I608">
        <v>15.493611335754395</v>
      </c>
      <c r="J608">
        <v>8671.9785779827507</v>
      </c>
      <c r="K608">
        <v>175.22726869687901</v>
      </c>
    </row>
    <row r="609" spans="1:11" x14ac:dyDescent="0.25">
      <c r="A609" t="str">
        <f>VLOOKUP(C609,'[2]Ensaio 1'!$A$2:$E$28,5,FALSE)</f>
        <v>Control</v>
      </c>
      <c r="B609">
        <f>VLOOKUP(C609,'[2]Ensaio 1'!$A$2:$F$28,6,FALSE)</f>
        <v>3</v>
      </c>
      <c r="C609" s="36">
        <v>900248002084626</v>
      </c>
      <c r="D609" s="36">
        <v>900248002084626</v>
      </c>
      <c r="E609" s="1">
        <f t="shared" si="9"/>
        <v>44964</v>
      </c>
      <c r="F609" s="51">
        <v>44964.656909722202</v>
      </c>
      <c r="G609" s="51">
        <v>44964.6616782407</v>
      </c>
      <c r="H609" s="52">
        <v>4.143518518519E-3</v>
      </c>
      <c r="I609">
        <v>15.765832901000977</v>
      </c>
      <c r="J609">
        <v>9044.3463284758709</v>
      </c>
      <c r="K609">
        <v>109.135186327851</v>
      </c>
    </row>
    <row r="610" spans="1:11" x14ac:dyDescent="0.25">
      <c r="A610" t="str">
        <f>VLOOKUP(C610,'[2]Ensaio 1'!$A$2:$E$28,5,FALSE)</f>
        <v>Control</v>
      </c>
      <c r="B610">
        <f>VLOOKUP(C610,'[2]Ensaio 1'!$A$2:$F$28,6,FALSE)</f>
        <v>3</v>
      </c>
      <c r="C610" s="36">
        <v>960000003608633</v>
      </c>
      <c r="D610" s="36">
        <v>960000003608633</v>
      </c>
      <c r="E610" s="1">
        <f t="shared" si="9"/>
        <v>44964</v>
      </c>
      <c r="F610" s="51">
        <v>44964.856435185196</v>
      </c>
      <c r="G610" s="51">
        <v>44964.8596875</v>
      </c>
      <c r="H610" s="52">
        <v>3.0787037037039999E-3</v>
      </c>
      <c r="I610">
        <v>20.554445266723633</v>
      </c>
      <c r="J610">
        <v>9363.0206921900808</v>
      </c>
      <c r="K610">
        <v>111.25029102601999</v>
      </c>
    </row>
    <row r="611" spans="1:11" x14ac:dyDescent="0.25">
      <c r="A611" t="str">
        <f>VLOOKUP(C611,'[2]Ensaio 1'!$A$2:$E$28,5,FALSE)</f>
        <v>Control</v>
      </c>
      <c r="B611">
        <f>VLOOKUP(C611,'[2]Ensaio 1'!$A$2:$F$28,6,FALSE)</f>
        <v>3</v>
      </c>
      <c r="C611" s="36">
        <v>960000003827766</v>
      </c>
      <c r="D611" s="36">
        <v>960000003827766</v>
      </c>
      <c r="E611" s="1">
        <f t="shared" si="9"/>
        <v>44964</v>
      </c>
      <c r="F611" s="51">
        <v>44964.920983796299</v>
      </c>
      <c r="G611" s="51">
        <v>44964.924282407403</v>
      </c>
      <c r="H611" s="52">
        <v>3.1828703703699998E-3</v>
      </c>
      <c r="I611">
        <v>22.103610992431641</v>
      </c>
      <c r="J611">
        <v>9053.1168060525306</v>
      </c>
      <c r="K611">
        <v>127.964920445658</v>
      </c>
    </row>
    <row r="612" spans="1:11" x14ac:dyDescent="0.25">
      <c r="A612" t="str">
        <f>VLOOKUP(C612,'[2]Ensaio 1'!$A$2:$E$28,5,FALSE)</f>
        <v>Control</v>
      </c>
      <c r="B612">
        <f>VLOOKUP(C612,'[2]Ensaio 1'!$A$2:$F$28,6,FALSE)</f>
        <v>3</v>
      </c>
      <c r="C612" s="36">
        <v>960000003688522</v>
      </c>
      <c r="D612" s="36">
        <v>960000003688522</v>
      </c>
      <c r="E612" s="1">
        <f t="shared" si="9"/>
        <v>44964</v>
      </c>
      <c r="F612" s="51">
        <v>44964.928541666697</v>
      </c>
      <c r="G612" s="51">
        <v>44964.934467592597</v>
      </c>
      <c r="H612" s="52">
        <v>5.0578703703700002E-3</v>
      </c>
      <c r="I612">
        <v>22.284999847412109</v>
      </c>
      <c r="J612">
        <v>7692.4493180495601</v>
      </c>
      <c r="K612">
        <v>127.965645311762</v>
      </c>
    </row>
    <row r="613" spans="1:11" x14ac:dyDescent="0.25">
      <c r="A613" t="str">
        <f>VLOOKUP(C613,'[2]Ensaio 1'!$A$2:$E$28,5,FALSE)</f>
        <v>Control</v>
      </c>
      <c r="B613">
        <f>VLOOKUP(C613,'[2]Ensaio 1'!$A$2:$F$28,6,FALSE)</f>
        <v>3</v>
      </c>
      <c r="C613" s="36">
        <v>960000003664778</v>
      </c>
      <c r="D613" s="36">
        <v>960000003664778</v>
      </c>
      <c r="E613" s="1">
        <f t="shared" si="9"/>
        <v>44964</v>
      </c>
      <c r="F613" s="51">
        <v>44964.936157407399</v>
      </c>
      <c r="G613" s="51">
        <v>44964.940092592602</v>
      </c>
      <c r="H613" s="52">
        <v>3.275462962963E-3</v>
      </c>
      <c r="I613">
        <v>22.467777252197266</v>
      </c>
      <c r="J613">
        <v>8832.7865055537204</v>
      </c>
      <c r="K613">
        <v>152.714063468082</v>
      </c>
    </row>
    <row r="614" spans="1:11" x14ac:dyDescent="0.25">
      <c r="A614" t="str">
        <f>VLOOKUP(C614,'[2]Ensaio 1'!$A$2:$E$28,5,FALSE)</f>
        <v>Control</v>
      </c>
      <c r="B614">
        <f>VLOOKUP(C614,'[2]Ensaio 1'!$A$2:$F$28,6,FALSE)</f>
        <v>3</v>
      </c>
      <c r="C614" s="36">
        <v>900248002084626</v>
      </c>
      <c r="D614" s="36">
        <v>900248002084626</v>
      </c>
      <c r="E614" s="1">
        <f t="shared" si="9"/>
        <v>44964</v>
      </c>
      <c r="F614" s="51">
        <v>44964.945416666698</v>
      </c>
      <c r="G614" s="51">
        <v>44964.948900463001</v>
      </c>
      <c r="H614" s="52">
        <v>2.9861111111109998E-3</v>
      </c>
      <c r="I614">
        <v>22.690000534057617</v>
      </c>
      <c r="J614">
        <v>12338.3903331643</v>
      </c>
      <c r="K614">
        <v>96.073140409541395</v>
      </c>
    </row>
    <row r="615" spans="1:11" x14ac:dyDescent="0.25">
      <c r="A615" t="str">
        <f>VLOOKUP(C615,'[2]Ensaio 1'!$A$2:$E$28,5,FALSE)</f>
        <v>Control</v>
      </c>
      <c r="B615">
        <f>VLOOKUP(C615,'[2]Ensaio 1'!$A$2:$F$28,6,FALSE)</f>
        <v>3</v>
      </c>
      <c r="C615" s="36">
        <v>960000003608633</v>
      </c>
      <c r="D615" s="36">
        <v>960000003608633</v>
      </c>
      <c r="E615" s="1">
        <f t="shared" si="9"/>
        <v>44965</v>
      </c>
      <c r="F615" s="51">
        <v>44965.003726851799</v>
      </c>
      <c r="G615" s="51">
        <v>44965.007789351897</v>
      </c>
      <c r="H615" s="52">
        <v>3.9004629629630001E-3</v>
      </c>
      <c r="I615">
        <v>8.9444443583488006E-2</v>
      </c>
      <c r="J615">
        <v>7987.1261902921697</v>
      </c>
      <c r="K615">
        <v>91.122481118197797</v>
      </c>
    </row>
    <row r="616" spans="1:11" x14ac:dyDescent="0.25">
      <c r="A616" t="str">
        <f>VLOOKUP(C616,'[2]Ensaio 1'!$A$2:$E$28,5,FALSE)</f>
        <v>Control</v>
      </c>
      <c r="B616">
        <f>VLOOKUP(C616,'[2]Ensaio 1'!$A$2:$F$28,6,FALSE)</f>
        <v>3</v>
      </c>
      <c r="C616" s="36">
        <v>960000003827766</v>
      </c>
      <c r="D616" s="36">
        <v>960000003827766</v>
      </c>
      <c r="E616" s="1">
        <f t="shared" si="9"/>
        <v>44965</v>
      </c>
      <c r="F616" s="51">
        <v>44965.011238425897</v>
      </c>
      <c r="G616" s="51">
        <v>44965.014791666697</v>
      </c>
      <c r="H616" s="52">
        <v>3.275462962963E-3</v>
      </c>
      <c r="I616">
        <v>0.26972222328186002</v>
      </c>
      <c r="J616">
        <v>10400.5060924557</v>
      </c>
      <c r="K616">
        <v>186.48347429067601</v>
      </c>
    </row>
    <row r="617" spans="1:11" x14ac:dyDescent="0.25">
      <c r="A617" t="str">
        <f>VLOOKUP(C617,'[2]Ensaio 1'!$A$2:$E$28,5,FALSE)</f>
        <v>Control</v>
      </c>
      <c r="B617">
        <f>VLOOKUP(C617,'[2]Ensaio 1'!$A$2:$F$28,6,FALSE)</f>
        <v>3</v>
      </c>
      <c r="C617" s="36">
        <v>960000003664778</v>
      </c>
      <c r="D617" s="36">
        <v>960000003664778</v>
      </c>
      <c r="E617" s="1">
        <f t="shared" si="9"/>
        <v>44965</v>
      </c>
      <c r="F617" s="51">
        <v>44965.016574074099</v>
      </c>
      <c r="G617" s="51">
        <v>44965.020069444399</v>
      </c>
      <c r="H617" s="52">
        <v>3.0902777777780002E-3</v>
      </c>
      <c r="I617">
        <v>0.39777776598930398</v>
      </c>
      <c r="J617">
        <v>9785.3497125660706</v>
      </c>
      <c r="K617">
        <v>150.69821495794301</v>
      </c>
    </row>
    <row r="618" spans="1:11" x14ac:dyDescent="0.25">
      <c r="A618" t="str">
        <f>VLOOKUP(C618,'[2]Ensaio 1'!$A$2:$E$28,5,FALSE)</f>
        <v>Control</v>
      </c>
      <c r="B618">
        <f>VLOOKUP(C618,'[2]Ensaio 1'!$A$2:$F$28,6,FALSE)</f>
        <v>3</v>
      </c>
      <c r="C618" s="36">
        <v>960000003688522</v>
      </c>
      <c r="D618" s="36">
        <v>960000003688522</v>
      </c>
      <c r="E618" s="1">
        <f t="shared" si="9"/>
        <v>44965</v>
      </c>
      <c r="F618" s="51">
        <v>44965.152696759302</v>
      </c>
      <c r="G618" s="51">
        <v>44965.155046296299</v>
      </c>
      <c r="H618" s="52">
        <v>2.1527777777779998E-3</v>
      </c>
      <c r="I618">
        <v>3.664722204208374</v>
      </c>
      <c r="J618">
        <v>9607.2160812894799</v>
      </c>
      <c r="K618">
        <v>160.516215339425</v>
      </c>
    </row>
    <row r="619" spans="1:11" x14ac:dyDescent="0.25">
      <c r="A619" t="str">
        <f>VLOOKUP(C619,'[2]Ensaio 1'!$A$2:$E$28,5,FALSE)</f>
        <v>Control</v>
      </c>
      <c r="B619">
        <f>VLOOKUP(C619,'[2]Ensaio 1'!$A$2:$F$28,6,FALSE)</f>
        <v>3</v>
      </c>
      <c r="C619" s="36">
        <v>960000003827766</v>
      </c>
      <c r="D619" s="36">
        <v>960000003827766</v>
      </c>
      <c r="E619" s="1">
        <f t="shared" si="9"/>
        <v>44965</v>
      </c>
      <c r="F619" s="51">
        <v>44965.292106481502</v>
      </c>
      <c r="G619" s="51">
        <v>44965.2957523148</v>
      </c>
      <c r="H619" s="52">
        <v>3.2523148148149998E-3</v>
      </c>
      <c r="I619">
        <v>7.0105557441711426</v>
      </c>
      <c r="J619">
        <v>8609.0044071606208</v>
      </c>
      <c r="K619">
        <v>108.887289459294</v>
      </c>
    </row>
    <row r="620" spans="1:11" x14ac:dyDescent="0.25">
      <c r="A620" t="str">
        <f>VLOOKUP(C620,'[2]Ensaio 1'!$A$2:$E$28,5,FALSE)</f>
        <v>Control</v>
      </c>
      <c r="B620">
        <f>VLOOKUP(C620,'[2]Ensaio 1'!$A$2:$F$28,6,FALSE)</f>
        <v>3</v>
      </c>
      <c r="C620" s="36">
        <v>960000003664778</v>
      </c>
      <c r="D620" s="36">
        <v>960000003664778</v>
      </c>
      <c r="E620" s="1">
        <f t="shared" si="9"/>
        <v>44965</v>
      </c>
      <c r="F620" s="51">
        <v>44965.301273148201</v>
      </c>
      <c r="G620" s="51">
        <v>44965.306331018503</v>
      </c>
      <c r="H620" s="52">
        <v>3.1018518518520001E-3</v>
      </c>
      <c r="I620">
        <v>7.230555534362793</v>
      </c>
      <c r="J620">
        <v>7901.3842107365299</v>
      </c>
      <c r="K620">
        <v>99.889628974421996</v>
      </c>
    </row>
    <row r="621" spans="1:11" x14ac:dyDescent="0.25">
      <c r="A621" t="str">
        <f>VLOOKUP(C621,'[2]Ensaio 1'!$A$2:$E$28,5,FALSE)</f>
        <v>Control</v>
      </c>
      <c r="B621">
        <f>VLOOKUP(C621,'[2]Ensaio 1'!$A$2:$F$28,6,FALSE)</f>
        <v>3</v>
      </c>
      <c r="C621" s="36">
        <v>960000003608633</v>
      </c>
      <c r="D621" s="36">
        <v>960000003608633</v>
      </c>
      <c r="E621" s="1">
        <f t="shared" si="9"/>
        <v>44965</v>
      </c>
      <c r="F621" s="51">
        <v>44965.307511574101</v>
      </c>
      <c r="G621" s="51">
        <v>44965.311273148101</v>
      </c>
      <c r="H621" s="52">
        <v>3.3217592592590002E-3</v>
      </c>
      <c r="I621">
        <v>7.3802776336669922</v>
      </c>
      <c r="J621">
        <v>7776.5158346887301</v>
      </c>
      <c r="K621">
        <v>63.419436517725003</v>
      </c>
    </row>
    <row r="622" spans="1:11" x14ac:dyDescent="0.25">
      <c r="A622" t="str">
        <f>VLOOKUP(C622,'[2]Ensaio 1'!$A$2:$E$28,5,FALSE)</f>
        <v>Control</v>
      </c>
      <c r="B622">
        <f>VLOOKUP(C622,'[2]Ensaio 1'!$A$2:$F$28,6,FALSE)</f>
        <v>3</v>
      </c>
      <c r="C622" s="36">
        <v>900248002084626</v>
      </c>
      <c r="D622" s="36">
        <v>900248002084626</v>
      </c>
      <c r="E622" s="1">
        <f t="shared" si="9"/>
        <v>44965</v>
      </c>
      <c r="F622" s="51">
        <v>44965.326631944401</v>
      </c>
      <c r="G622" s="51">
        <v>44965.330405092602</v>
      </c>
      <c r="H622" s="52">
        <v>3.0671296296300001E-3</v>
      </c>
      <c r="I622">
        <v>7.8391666412353516</v>
      </c>
      <c r="J622">
        <v>9471.0852516195191</v>
      </c>
      <c r="K622">
        <v>159.59264161692701</v>
      </c>
    </row>
    <row r="623" spans="1:11" x14ac:dyDescent="0.25">
      <c r="A623" t="str">
        <f>VLOOKUP(C623,'[2]Ensaio 1'!$A$2:$E$28,5,FALSE)</f>
        <v>Control</v>
      </c>
      <c r="B623">
        <f>VLOOKUP(C623,'[2]Ensaio 1'!$A$2:$F$28,6,FALSE)</f>
        <v>3</v>
      </c>
      <c r="C623" s="36">
        <v>960000003688522</v>
      </c>
      <c r="D623" s="36">
        <v>960000003688522</v>
      </c>
      <c r="E623" s="1">
        <f t="shared" si="9"/>
        <v>44965</v>
      </c>
      <c r="F623" s="51">
        <v>44965.427858796298</v>
      </c>
      <c r="G623" s="51">
        <v>44965.4298263889</v>
      </c>
      <c r="H623" s="52">
        <v>1.9444444444440001E-3</v>
      </c>
      <c r="I623">
        <v>10.268610954284668</v>
      </c>
      <c r="J623">
        <v>7129.5099302048802</v>
      </c>
      <c r="K623">
        <v>150.08569641270699</v>
      </c>
    </row>
    <row r="624" spans="1:11" x14ac:dyDescent="0.25">
      <c r="A624" t="str">
        <f>VLOOKUP(C624,'[2]Ensaio 1'!$A$2:$E$28,5,FALSE)</f>
        <v>Control</v>
      </c>
      <c r="B624">
        <f>VLOOKUP(C624,'[2]Ensaio 1'!$A$2:$F$28,6,FALSE)</f>
        <v>3</v>
      </c>
      <c r="C624" s="36">
        <v>960000003688522</v>
      </c>
      <c r="D624" s="36">
        <v>960000003688522</v>
      </c>
      <c r="E624" s="1">
        <f t="shared" si="9"/>
        <v>44965</v>
      </c>
      <c r="F624" s="51">
        <v>44965.502129629604</v>
      </c>
      <c r="G624" s="51">
        <v>44965.503796296303</v>
      </c>
      <c r="H624" s="52">
        <v>1.62037037037E-3</v>
      </c>
      <c r="I624">
        <v>12.051111221313477</v>
      </c>
      <c r="J624">
        <v>8383.3359313562996</v>
      </c>
      <c r="K624">
        <v>110.65031858749001</v>
      </c>
    </row>
    <row r="625" spans="1:11" x14ac:dyDescent="0.25">
      <c r="A625" t="str">
        <f>VLOOKUP(C625,'[2]Ensaio 1'!$A$2:$E$28,5,FALSE)</f>
        <v>Control</v>
      </c>
      <c r="B625">
        <f>VLOOKUP(C625,'[2]Ensaio 1'!$A$2:$F$28,6,FALSE)</f>
        <v>3</v>
      </c>
      <c r="C625" s="36">
        <v>960000003664778</v>
      </c>
      <c r="D625" s="36">
        <v>960000003664778</v>
      </c>
      <c r="E625" s="1">
        <f t="shared" si="9"/>
        <v>44965</v>
      </c>
      <c r="F625" s="51">
        <v>44965.519155092603</v>
      </c>
      <c r="G625" s="51">
        <v>44965.5234837963</v>
      </c>
      <c r="H625" s="52">
        <v>3.4953703703700001E-3</v>
      </c>
      <c r="I625">
        <v>12.459722518920898</v>
      </c>
      <c r="J625">
        <v>8414.9024689028302</v>
      </c>
      <c r="K625">
        <v>154.64737717897501</v>
      </c>
    </row>
    <row r="626" spans="1:11" x14ac:dyDescent="0.25">
      <c r="A626" t="str">
        <f>VLOOKUP(C626,'[2]Ensaio 1'!$A$2:$E$28,5,FALSE)</f>
        <v>Control</v>
      </c>
      <c r="B626">
        <f>VLOOKUP(C626,'[2]Ensaio 1'!$A$2:$F$28,6,FALSE)</f>
        <v>3</v>
      </c>
      <c r="C626" s="36">
        <v>960000003608633</v>
      </c>
      <c r="D626" s="36">
        <v>960000003608633</v>
      </c>
      <c r="E626" s="1">
        <f t="shared" si="9"/>
        <v>44965</v>
      </c>
      <c r="F626" s="51">
        <v>44965.596840277802</v>
      </c>
      <c r="G626" s="51">
        <v>44965.599814814799</v>
      </c>
      <c r="H626" s="52">
        <v>2.905092592593E-3</v>
      </c>
      <c r="I626">
        <v>14.324166297912598</v>
      </c>
      <c r="J626">
        <v>9502.6071559149696</v>
      </c>
      <c r="K626">
        <v>123.45933753882299</v>
      </c>
    </row>
    <row r="627" spans="1:11" x14ac:dyDescent="0.25">
      <c r="A627" t="str">
        <f>VLOOKUP(C627,'[2]Ensaio 1'!$A$2:$E$28,5,FALSE)</f>
        <v>Control</v>
      </c>
      <c r="B627">
        <f>VLOOKUP(C627,'[2]Ensaio 1'!$A$2:$F$28,6,FALSE)</f>
        <v>3</v>
      </c>
      <c r="C627" s="36">
        <v>960000003827766</v>
      </c>
      <c r="D627" s="36">
        <v>960000003827766</v>
      </c>
      <c r="E627" s="1">
        <f t="shared" si="9"/>
        <v>44965</v>
      </c>
      <c r="F627" s="51">
        <v>44965.624826388899</v>
      </c>
      <c r="G627" s="51">
        <v>44965.628298611096</v>
      </c>
      <c r="H627" s="52">
        <v>2.8472222222219999E-3</v>
      </c>
      <c r="I627">
        <v>14.995833396911621</v>
      </c>
      <c r="J627">
        <v>8237.0377523099505</v>
      </c>
      <c r="K627">
        <v>117.928171621454</v>
      </c>
    </row>
    <row r="628" spans="1:11" x14ac:dyDescent="0.25">
      <c r="A628" t="str">
        <f>VLOOKUP(C628,'[2]Ensaio 1'!$A$2:$E$28,5,FALSE)</f>
        <v>Control</v>
      </c>
      <c r="B628">
        <f>VLOOKUP(C628,'[2]Ensaio 1'!$A$2:$F$28,6,FALSE)</f>
        <v>3</v>
      </c>
      <c r="C628" s="36">
        <v>900248002084626</v>
      </c>
      <c r="D628" s="36">
        <v>900248002084626</v>
      </c>
      <c r="E628" s="1">
        <f t="shared" si="9"/>
        <v>44965</v>
      </c>
      <c r="F628" s="51">
        <v>44965.638483796298</v>
      </c>
      <c r="G628" s="51">
        <v>44965.640902777799</v>
      </c>
      <c r="H628" s="52">
        <v>2.2453703703699999E-3</v>
      </c>
      <c r="I628">
        <v>15.323611259460449</v>
      </c>
      <c r="J628">
        <v>10332.044203151099</v>
      </c>
      <c r="K628">
        <v>152.619063706171</v>
      </c>
    </row>
    <row r="629" spans="1:11" x14ac:dyDescent="0.25">
      <c r="A629" t="str">
        <f>VLOOKUP(C629,'[2]Ensaio 1'!$A$2:$E$28,5,FALSE)</f>
        <v>Control</v>
      </c>
      <c r="B629">
        <f>VLOOKUP(C629,'[2]Ensaio 1'!$A$2:$F$28,6,FALSE)</f>
        <v>3</v>
      </c>
      <c r="C629" s="36">
        <v>960000003664778</v>
      </c>
      <c r="D629" s="36">
        <v>960000003664778</v>
      </c>
      <c r="E629" s="1">
        <f t="shared" si="9"/>
        <v>44965</v>
      </c>
      <c r="F629" s="51">
        <v>44965.743460648097</v>
      </c>
      <c r="G629" s="51">
        <v>44965.747071759302</v>
      </c>
      <c r="H629" s="52">
        <v>3.2523148148149998E-3</v>
      </c>
      <c r="I629">
        <v>17.843055725097656</v>
      </c>
      <c r="J629">
        <v>8977.5369893275692</v>
      </c>
      <c r="K629">
        <v>167.909766762998</v>
      </c>
    </row>
    <row r="630" spans="1:11" x14ac:dyDescent="0.25">
      <c r="A630" t="str">
        <f>VLOOKUP(C630,'[2]Ensaio 1'!$A$2:$E$28,5,FALSE)</f>
        <v>Control</v>
      </c>
      <c r="B630">
        <f>VLOOKUP(C630,'[2]Ensaio 1'!$A$2:$F$28,6,FALSE)</f>
        <v>3</v>
      </c>
      <c r="C630" s="36">
        <v>960000003608633</v>
      </c>
      <c r="D630" s="36">
        <v>960000003608633</v>
      </c>
      <c r="E630" s="1">
        <f t="shared" si="9"/>
        <v>44965</v>
      </c>
      <c r="F630" s="51">
        <v>44965.813958333303</v>
      </c>
      <c r="G630" s="51">
        <v>44965.817546296297</v>
      </c>
      <c r="H630" s="52">
        <v>3.5185185185189999E-3</v>
      </c>
      <c r="I630">
        <v>19.534999847412109</v>
      </c>
      <c r="J630">
        <v>10209.566542694</v>
      </c>
      <c r="K630">
        <v>147.94187460283899</v>
      </c>
    </row>
    <row r="631" spans="1:11" x14ac:dyDescent="0.25">
      <c r="A631" t="str">
        <f>VLOOKUP(C631,'[2]Ensaio 1'!$A$2:$E$28,5,FALSE)</f>
        <v>Control</v>
      </c>
      <c r="B631">
        <f>VLOOKUP(C631,'[2]Ensaio 1'!$A$2:$F$28,6,FALSE)</f>
        <v>3</v>
      </c>
      <c r="C631" s="36">
        <v>960000003688522</v>
      </c>
      <c r="D631" s="36">
        <v>960000003688522</v>
      </c>
      <c r="E631" s="1">
        <f t="shared" si="9"/>
        <v>44965</v>
      </c>
      <c r="F631" s="51">
        <v>44965.823888888903</v>
      </c>
      <c r="G631" s="51">
        <v>44965.826678240701</v>
      </c>
      <c r="H631" s="52">
        <v>2.743055555556E-3</v>
      </c>
      <c r="I631">
        <v>19.773332595825195</v>
      </c>
      <c r="J631">
        <v>9864.8620475329299</v>
      </c>
      <c r="K631">
        <v>216.29299923279501</v>
      </c>
    </row>
    <row r="632" spans="1:11" x14ac:dyDescent="0.25">
      <c r="A632" t="str">
        <f>VLOOKUP(C632,'[2]Ensaio 1'!$A$2:$E$28,5,FALSE)</f>
        <v>Control</v>
      </c>
      <c r="B632">
        <f>VLOOKUP(C632,'[2]Ensaio 1'!$A$2:$F$28,6,FALSE)</f>
        <v>3</v>
      </c>
      <c r="C632" s="36">
        <v>960000003664778</v>
      </c>
      <c r="D632" s="36">
        <v>960000003664778</v>
      </c>
      <c r="E632" s="1">
        <f t="shared" si="9"/>
        <v>44965</v>
      </c>
      <c r="F632" s="51">
        <v>44965.955474536997</v>
      </c>
      <c r="G632" s="51">
        <v>44965.9585532407</v>
      </c>
      <c r="H632" s="52">
        <v>3.032407407407E-3</v>
      </c>
      <c r="I632">
        <v>22.931388854980469</v>
      </c>
      <c r="J632">
        <v>9698.8035475773795</v>
      </c>
      <c r="K632">
        <v>171.75450295297301</v>
      </c>
    </row>
    <row r="633" spans="1:11" x14ac:dyDescent="0.25">
      <c r="A633" t="str">
        <f>VLOOKUP(C633,'[2]Ensaio 1'!$A$2:$E$28,5,FALSE)</f>
        <v>Control</v>
      </c>
      <c r="B633">
        <f>VLOOKUP(C633,'[2]Ensaio 1'!$A$2:$F$28,6,FALSE)</f>
        <v>3</v>
      </c>
      <c r="C633" s="36">
        <v>960000003827766</v>
      </c>
      <c r="D633" s="36">
        <v>960000003827766</v>
      </c>
      <c r="E633" s="1">
        <f t="shared" si="9"/>
        <v>44965</v>
      </c>
      <c r="F633" s="51">
        <v>44965.988715277803</v>
      </c>
      <c r="G633" s="51">
        <v>44965.9921412037</v>
      </c>
      <c r="H633" s="52">
        <v>3.1481481481479999E-3</v>
      </c>
      <c r="I633">
        <v>23.729166030883789</v>
      </c>
      <c r="J633">
        <v>8395.5902002976309</v>
      </c>
      <c r="K633">
        <v>117.768938591317</v>
      </c>
    </row>
    <row r="634" spans="1:11" x14ac:dyDescent="0.25">
      <c r="A634" t="str">
        <f>VLOOKUP(C634,'[2]Ensaio 1'!$A$2:$E$28,5,FALSE)</f>
        <v>Control</v>
      </c>
      <c r="B634">
        <f>VLOOKUP(C634,'[2]Ensaio 1'!$A$2:$F$28,6,FALSE)</f>
        <v>3</v>
      </c>
      <c r="C634" s="36">
        <v>900248002084626</v>
      </c>
      <c r="D634" s="36">
        <v>900248002084626</v>
      </c>
      <c r="E634" s="1">
        <f t="shared" si="9"/>
        <v>44966</v>
      </c>
      <c r="F634" s="51">
        <v>44966.006134259304</v>
      </c>
      <c r="G634" s="51">
        <v>44966.009317129603</v>
      </c>
      <c r="H634" s="52">
        <v>3.1250000000000002E-3</v>
      </c>
      <c r="I634">
        <v>0.147222220897675</v>
      </c>
      <c r="J634">
        <v>9950.0519631875104</v>
      </c>
      <c r="K634">
        <v>140.565906202897</v>
      </c>
    </row>
    <row r="635" spans="1:11" x14ac:dyDescent="0.25">
      <c r="A635" t="str">
        <f>VLOOKUP(C635,'[2]Ensaio 1'!$A$2:$E$28,5,FALSE)</f>
        <v>Control</v>
      </c>
      <c r="B635">
        <f>VLOOKUP(C635,'[2]Ensaio 1'!$A$2:$F$28,6,FALSE)</f>
        <v>3</v>
      </c>
      <c r="C635" s="36">
        <v>960000003664778</v>
      </c>
      <c r="D635" s="36">
        <v>960000003664778</v>
      </c>
      <c r="E635" s="1">
        <f t="shared" si="9"/>
        <v>44966</v>
      </c>
      <c r="F635" s="51">
        <v>44966.0226273148</v>
      </c>
      <c r="G635" s="51">
        <v>44966.025902777801</v>
      </c>
      <c r="H635" s="52">
        <v>3.2175925925929999E-3</v>
      </c>
      <c r="I635">
        <v>0.54305553436279297</v>
      </c>
      <c r="J635">
        <v>8928.3162869559292</v>
      </c>
      <c r="K635">
        <v>112.96408443120301</v>
      </c>
    </row>
    <row r="636" spans="1:11" x14ac:dyDescent="0.25">
      <c r="A636" t="str">
        <f>VLOOKUP(C636,'[2]Ensaio 1'!$A$2:$E$28,5,FALSE)</f>
        <v>Control</v>
      </c>
      <c r="B636">
        <f>VLOOKUP(C636,'[2]Ensaio 1'!$A$2:$F$28,6,FALSE)</f>
        <v>3</v>
      </c>
      <c r="C636" s="36">
        <v>960000003827766</v>
      </c>
      <c r="D636" s="36">
        <v>960000003827766</v>
      </c>
      <c r="E636" s="1">
        <f t="shared" si="9"/>
        <v>44966</v>
      </c>
      <c r="F636" s="51">
        <v>44966.076157407399</v>
      </c>
      <c r="G636" s="51">
        <v>44966.080543981501</v>
      </c>
      <c r="H636" s="52">
        <v>3.4837962962959998E-3</v>
      </c>
      <c r="I636">
        <v>1.827777743339539</v>
      </c>
      <c r="J636">
        <v>9668.5493369790001</v>
      </c>
      <c r="K636">
        <v>143.48023811858101</v>
      </c>
    </row>
    <row r="637" spans="1:11" x14ac:dyDescent="0.25">
      <c r="A637" t="str">
        <f>VLOOKUP(C637,'[2]Ensaio 1'!$A$2:$E$28,5,FALSE)</f>
        <v>Control</v>
      </c>
      <c r="B637">
        <f>VLOOKUP(C637,'[2]Ensaio 1'!$A$2:$F$28,6,FALSE)</f>
        <v>3</v>
      </c>
      <c r="C637" s="36">
        <v>960000003608633</v>
      </c>
      <c r="D637" s="36">
        <v>960000003608633</v>
      </c>
      <c r="E637" s="1">
        <f t="shared" si="9"/>
        <v>44966</v>
      </c>
      <c r="F637" s="51">
        <v>44966.083657407398</v>
      </c>
      <c r="G637" s="51">
        <v>44966.085960648103</v>
      </c>
      <c r="H637" s="52">
        <v>2.233796296296E-3</v>
      </c>
      <c r="I637">
        <v>2.0077776908874512</v>
      </c>
      <c r="J637">
        <v>9834.4371871433996</v>
      </c>
      <c r="K637">
        <v>110.13456822181099</v>
      </c>
    </row>
    <row r="638" spans="1:11" x14ac:dyDescent="0.25">
      <c r="A638" t="str">
        <f>VLOOKUP(C638,'[2]Ensaio 1'!$A$2:$E$28,5,FALSE)</f>
        <v>Control</v>
      </c>
      <c r="B638">
        <f>VLOOKUP(C638,'[2]Ensaio 1'!$A$2:$F$28,6,FALSE)</f>
        <v>3</v>
      </c>
      <c r="C638" s="36">
        <v>960000003688522</v>
      </c>
      <c r="D638" s="36">
        <v>960000003688522</v>
      </c>
      <c r="E638" s="1">
        <f t="shared" si="9"/>
        <v>44966</v>
      </c>
      <c r="F638" s="51">
        <v>44966.303692129601</v>
      </c>
      <c r="G638" s="51">
        <v>44966.3074305556</v>
      </c>
      <c r="H638" s="52">
        <v>3.3101851851849999E-3</v>
      </c>
      <c r="I638">
        <v>7.2886109352111816</v>
      </c>
      <c r="J638">
        <v>6691.1077453073203</v>
      </c>
      <c r="K638">
        <v>69.682307292227506</v>
      </c>
    </row>
    <row r="639" spans="1:11" x14ac:dyDescent="0.25">
      <c r="A639" t="str">
        <f>VLOOKUP(C639,'[2]Ensaio 1'!$A$2:$E$28,5,FALSE)</f>
        <v>Control</v>
      </c>
      <c r="B639">
        <f>VLOOKUP(C639,'[2]Ensaio 1'!$A$2:$F$28,6,FALSE)</f>
        <v>3</v>
      </c>
      <c r="C639" s="36">
        <v>960000003664778</v>
      </c>
      <c r="D639" s="36">
        <v>960000003664778</v>
      </c>
      <c r="E639" s="1">
        <f t="shared" si="9"/>
        <v>44966</v>
      </c>
      <c r="F639" s="51">
        <v>44966.309930555602</v>
      </c>
      <c r="G639" s="51">
        <v>44966.313449074099</v>
      </c>
      <c r="H639" s="52">
        <v>3.4375E-3</v>
      </c>
      <c r="I639">
        <v>7.4383335113525391</v>
      </c>
      <c r="J639">
        <v>9190.4691052960097</v>
      </c>
      <c r="K639">
        <v>122.925175377318</v>
      </c>
    </row>
    <row r="640" spans="1:11" x14ac:dyDescent="0.25">
      <c r="A640" t="str">
        <f>VLOOKUP(C640,'[2]Ensaio 1'!$A$2:$E$28,5,FALSE)</f>
        <v>Control</v>
      </c>
      <c r="B640">
        <f>VLOOKUP(C640,'[2]Ensaio 1'!$A$2:$F$28,6,FALSE)</f>
        <v>3</v>
      </c>
      <c r="C640" s="36">
        <v>960000003827766</v>
      </c>
      <c r="D640" s="36">
        <v>960000003827766</v>
      </c>
      <c r="E640" s="1">
        <f t="shared" si="9"/>
        <v>44966</v>
      </c>
      <c r="F640" s="51">
        <v>44966.318148148202</v>
      </c>
      <c r="G640" s="51">
        <v>44966.3211689815</v>
      </c>
      <c r="H640" s="52">
        <v>2.731481481481E-3</v>
      </c>
      <c r="I640">
        <v>7.6355557441711426</v>
      </c>
      <c r="J640">
        <v>7785.7511014279398</v>
      </c>
      <c r="K640">
        <v>57.985738000163501</v>
      </c>
    </row>
    <row r="641" spans="1:11" x14ac:dyDescent="0.25">
      <c r="A641" t="str">
        <f>VLOOKUP(C641,'[2]Ensaio 1'!$A$2:$E$28,5,FALSE)</f>
        <v>Control</v>
      </c>
      <c r="B641">
        <f>VLOOKUP(C641,'[2]Ensaio 1'!$A$2:$F$28,6,FALSE)</f>
        <v>3</v>
      </c>
      <c r="C641" s="36">
        <v>900248002084626</v>
      </c>
      <c r="D641" s="36">
        <v>900248002084626</v>
      </c>
      <c r="E641" s="1">
        <f t="shared" si="9"/>
        <v>44966</v>
      </c>
      <c r="F641" s="51">
        <v>44966.351493055598</v>
      </c>
      <c r="G641" s="51">
        <v>44966.355694444399</v>
      </c>
      <c r="H641" s="52">
        <v>3.738425925926E-3</v>
      </c>
      <c r="I641">
        <v>8.4358329772949219</v>
      </c>
      <c r="J641">
        <v>8228.5889403528708</v>
      </c>
      <c r="K641">
        <v>76.808059655924893</v>
      </c>
    </row>
    <row r="642" spans="1:11" x14ac:dyDescent="0.25">
      <c r="A642" t="str">
        <f>VLOOKUP(C642,'[2]Ensaio 1'!$A$2:$E$28,5,FALSE)</f>
        <v>Control</v>
      </c>
      <c r="B642">
        <f>VLOOKUP(C642,'[2]Ensaio 1'!$A$2:$F$28,6,FALSE)</f>
        <v>3</v>
      </c>
      <c r="C642" s="36">
        <v>960000003608633</v>
      </c>
      <c r="D642" s="36">
        <v>960000003608633</v>
      </c>
      <c r="E642" s="1">
        <f t="shared" ref="E642:E705" si="10">ROUNDDOWN(LEFT(F642,10),0)</f>
        <v>44966</v>
      </c>
      <c r="F642" s="51">
        <v>44966.378379629597</v>
      </c>
      <c r="G642" s="51">
        <v>44966.3817361111</v>
      </c>
      <c r="H642" s="52">
        <v>3.2523148148149998E-3</v>
      </c>
      <c r="I642">
        <v>9.081110954284668</v>
      </c>
      <c r="J642">
        <v>10385.4205846392</v>
      </c>
      <c r="K642">
        <v>179.424520908087</v>
      </c>
    </row>
    <row r="643" spans="1:11" x14ac:dyDescent="0.25">
      <c r="A643" t="str">
        <f>VLOOKUP(C643,'[2]Ensaio 1'!$A$2:$E$28,5,FALSE)</f>
        <v>Control</v>
      </c>
      <c r="B643">
        <f>VLOOKUP(C643,'[2]Ensaio 1'!$A$2:$F$28,6,FALSE)</f>
        <v>3</v>
      </c>
      <c r="C643" s="36">
        <v>960000003664778</v>
      </c>
      <c r="D643" s="36">
        <v>960000003664778</v>
      </c>
      <c r="E643" s="1">
        <f t="shared" si="10"/>
        <v>44966</v>
      </c>
      <c r="F643" s="51">
        <v>44966.559108796297</v>
      </c>
      <c r="G643" s="51">
        <v>44966.562511574099</v>
      </c>
      <c r="H643" s="52">
        <v>3.3217592592590002E-3</v>
      </c>
      <c r="I643">
        <v>13.418611526489258</v>
      </c>
      <c r="J643">
        <v>8659.7653214730508</v>
      </c>
      <c r="K643">
        <v>118.42645767105201</v>
      </c>
    </row>
    <row r="644" spans="1:11" x14ac:dyDescent="0.25">
      <c r="A644" t="str">
        <f>VLOOKUP(C644,'[2]Ensaio 1'!$A$2:$E$28,5,FALSE)</f>
        <v>Control</v>
      </c>
      <c r="B644">
        <f>VLOOKUP(C644,'[2]Ensaio 1'!$A$2:$F$28,6,FALSE)</f>
        <v>3</v>
      </c>
      <c r="C644" s="36">
        <v>960000003688522</v>
      </c>
      <c r="D644" s="36">
        <v>960000003688522</v>
      </c>
      <c r="E644" s="1">
        <f t="shared" si="10"/>
        <v>44966</v>
      </c>
      <c r="F644" s="51">
        <v>44966.566516203697</v>
      </c>
      <c r="G644" s="51">
        <v>44966.5703587963</v>
      </c>
      <c r="H644" s="52">
        <v>3.4606481481480001E-3</v>
      </c>
      <c r="I644">
        <v>13.596388816833496</v>
      </c>
      <c r="J644">
        <v>7917.1534530592198</v>
      </c>
      <c r="K644">
        <v>106.408802819236</v>
      </c>
    </row>
    <row r="645" spans="1:11" x14ac:dyDescent="0.25">
      <c r="A645" t="str">
        <f>VLOOKUP(C645,'[2]Ensaio 1'!$A$2:$E$28,5,FALSE)</f>
        <v>Control</v>
      </c>
      <c r="B645">
        <f>VLOOKUP(C645,'[2]Ensaio 1'!$A$2:$F$28,6,FALSE)</f>
        <v>3</v>
      </c>
      <c r="C645" s="36">
        <v>960000003608633</v>
      </c>
      <c r="D645" s="36">
        <v>960000003608633</v>
      </c>
      <c r="E645" s="1">
        <f t="shared" si="10"/>
        <v>44966</v>
      </c>
      <c r="F645" s="51">
        <v>44966.593194444402</v>
      </c>
      <c r="G645" s="51">
        <v>44966.596377314803</v>
      </c>
      <c r="H645" s="52">
        <v>3.136574074074E-3</v>
      </c>
      <c r="I645">
        <v>14.236666679382324</v>
      </c>
      <c r="J645">
        <v>9298.8896634094508</v>
      </c>
      <c r="K645">
        <v>108.849052536706</v>
      </c>
    </row>
    <row r="646" spans="1:11" x14ac:dyDescent="0.25">
      <c r="A646" t="str">
        <f>VLOOKUP(C646,'[2]Ensaio 1'!$A$2:$E$28,5,FALSE)</f>
        <v>Control</v>
      </c>
      <c r="B646">
        <f>VLOOKUP(C646,'[2]Ensaio 1'!$A$2:$F$28,6,FALSE)</f>
        <v>3</v>
      </c>
      <c r="C646" s="36">
        <v>960000003827766</v>
      </c>
      <c r="D646" s="36">
        <v>960000003827766</v>
      </c>
      <c r="E646" s="1">
        <f t="shared" si="10"/>
        <v>44966</v>
      </c>
      <c r="F646" s="51">
        <v>44966.605115740698</v>
      </c>
      <c r="G646" s="51">
        <v>44966.607372685197</v>
      </c>
      <c r="H646" s="52">
        <v>2.1180555555559998E-3</v>
      </c>
      <c r="I646">
        <v>14.522777557373047</v>
      </c>
      <c r="J646">
        <v>8328.6055704558003</v>
      </c>
      <c r="K646">
        <v>108.576196081538</v>
      </c>
    </row>
    <row r="647" spans="1:11" x14ac:dyDescent="0.25">
      <c r="A647" t="str">
        <f>VLOOKUP(C647,'[2]Ensaio 1'!$A$2:$E$28,5,FALSE)</f>
        <v>Control</v>
      </c>
      <c r="B647">
        <f>VLOOKUP(C647,'[2]Ensaio 1'!$A$2:$F$28,6,FALSE)</f>
        <v>3</v>
      </c>
      <c r="C647" s="36">
        <v>900248002084626</v>
      </c>
      <c r="D647" s="36">
        <v>900248002084626</v>
      </c>
      <c r="E647" s="1">
        <f t="shared" si="10"/>
        <v>44966</v>
      </c>
      <c r="F647" s="51">
        <v>44966.771238425899</v>
      </c>
      <c r="G647" s="51">
        <v>44966.772824074098</v>
      </c>
      <c r="H647" s="52">
        <v>1.4236111111109999E-3</v>
      </c>
      <c r="I647">
        <v>18.509721755981445</v>
      </c>
      <c r="J647">
        <v>11795.115928965201</v>
      </c>
      <c r="K647">
        <v>214.24890569399699</v>
      </c>
    </row>
    <row r="648" spans="1:11" x14ac:dyDescent="0.25">
      <c r="A648" t="str">
        <f>VLOOKUP(C648,'[2]Ensaio 1'!$A$2:$E$28,5,FALSE)</f>
        <v>Control</v>
      </c>
      <c r="B648">
        <f>VLOOKUP(C648,'[2]Ensaio 1'!$A$2:$F$28,6,FALSE)</f>
        <v>3</v>
      </c>
      <c r="C648" s="36">
        <v>960000003664778</v>
      </c>
      <c r="D648" s="36">
        <v>960000003664778</v>
      </c>
      <c r="E648" s="1">
        <f t="shared" si="10"/>
        <v>44966</v>
      </c>
      <c r="F648" s="51">
        <v>44966.7755555556</v>
      </c>
      <c r="G648" s="51">
        <v>44966.779155092598</v>
      </c>
      <c r="H648" s="52">
        <v>3.541666666667E-3</v>
      </c>
      <c r="I648">
        <v>18.613332748413086</v>
      </c>
      <c r="J648">
        <v>8870.7591851265897</v>
      </c>
      <c r="K648">
        <v>196.58418565137299</v>
      </c>
    </row>
    <row r="649" spans="1:11" x14ac:dyDescent="0.25">
      <c r="A649" t="str">
        <f>VLOOKUP(C649,'[2]Ensaio 1'!$A$2:$E$28,5,FALSE)</f>
        <v>Control</v>
      </c>
      <c r="B649">
        <f>VLOOKUP(C649,'[2]Ensaio 1'!$A$2:$F$28,6,FALSE)</f>
        <v>3</v>
      </c>
      <c r="C649" s="36">
        <v>960000003688522</v>
      </c>
      <c r="D649" s="36">
        <v>960000003688522</v>
      </c>
      <c r="E649" s="1">
        <f t="shared" si="10"/>
        <v>44966</v>
      </c>
      <c r="F649" s="51">
        <v>44966.819108796299</v>
      </c>
      <c r="G649" s="51">
        <v>44966.821956018503</v>
      </c>
      <c r="H649" s="52">
        <v>2.7777777777779999E-3</v>
      </c>
      <c r="I649">
        <v>19.658611297607422</v>
      </c>
      <c r="J649">
        <v>8362.3010557179005</v>
      </c>
      <c r="K649">
        <v>206.316641845568</v>
      </c>
    </row>
    <row r="650" spans="1:11" x14ac:dyDescent="0.25">
      <c r="A650" t="str">
        <f>VLOOKUP(C650,'[2]Ensaio 1'!$A$2:$E$28,5,FALSE)</f>
        <v>Control</v>
      </c>
      <c r="B650">
        <f>VLOOKUP(C650,'[2]Ensaio 1'!$A$2:$F$28,6,FALSE)</f>
        <v>3</v>
      </c>
      <c r="C650" s="36">
        <v>960000003608633</v>
      </c>
      <c r="D650" s="36">
        <v>960000003608633</v>
      </c>
      <c r="E650" s="1">
        <f t="shared" si="10"/>
        <v>44966</v>
      </c>
      <c r="F650" s="51">
        <v>44966.859895833302</v>
      </c>
      <c r="G650" s="51">
        <v>44966.863518518498</v>
      </c>
      <c r="H650" s="52">
        <v>3.4953703703700001E-3</v>
      </c>
      <c r="I650">
        <v>20.637500762939453</v>
      </c>
      <c r="J650">
        <v>9678.7120472864299</v>
      </c>
      <c r="K650">
        <v>192.13456742932999</v>
      </c>
    </row>
    <row r="651" spans="1:11" x14ac:dyDescent="0.25">
      <c r="A651" t="str">
        <f>VLOOKUP(C651,'[2]Ensaio 1'!$A$2:$E$28,5,FALSE)</f>
        <v>Control</v>
      </c>
      <c r="B651">
        <f>VLOOKUP(C651,'[2]Ensaio 1'!$A$2:$F$28,6,FALSE)</f>
        <v>3</v>
      </c>
      <c r="C651" s="36">
        <v>960000003827766</v>
      </c>
      <c r="D651" s="36">
        <v>960000003827766</v>
      </c>
      <c r="E651" s="1">
        <f t="shared" si="10"/>
        <v>44966</v>
      </c>
      <c r="F651" s="51">
        <v>44966.953726851898</v>
      </c>
      <c r="G651" s="51">
        <v>44966.955960648098</v>
      </c>
      <c r="H651" s="52">
        <v>2.0949074074070001E-3</v>
      </c>
      <c r="I651">
        <v>22.889444351196289</v>
      </c>
      <c r="J651">
        <v>9329.8742636310708</v>
      </c>
      <c r="K651">
        <v>274.04203155143699</v>
      </c>
    </row>
    <row r="652" spans="1:11" x14ac:dyDescent="0.25">
      <c r="A652" t="str">
        <f>VLOOKUP(C652,'[2]Ensaio 1'!$A$2:$E$28,5,FALSE)</f>
        <v>Control</v>
      </c>
      <c r="B652">
        <f>VLOOKUP(C652,'[2]Ensaio 1'!$A$2:$F$28,6,FALSE)</f>
        <v>3</v>
      </c>
      <c r="C652" s="36">
        <v>900248002084626</v>
      </c>
      <c r="D652" s="36">
        <v>900248002084626</v>
      </c>
      <c r="E652" s="1">
        <f t="shared" si="10"/>
        <v>44966</v>
      </c>
      <c r="F652" s="51">
        <v>44966.984502314801</v>
      </c>
      <c r="G652" s="51">
        <v>44966.988113425898</v>
      </c>
      <c r="H652" s="52">
        <v>3.541666666667E-3</v>
      </c>
      <c r="I652">
        <v>23.628055572509766</v>
      </c>
      <c r="J652">
        <v>10376.404496256901</v>
      </c>
      <c r="K652">
        <v>129.90300144204599</v>
      </c>
    </row>
    <row r="653" spans="1:11" x14ac:dyDescent="0.25">
      <c r="A653" t="str">
        <f>VLOOKUP(C653,'[2]Ensaio 1'!$A$2:$E$28,5,FALSE)</f>
        <v>Control</v>
      </c>
      <c r="B653">
        <f>VLOOKUP(C653,'[2]Ensaio 1'!$A$2:$F$28,6,FALSE)</f>
        <v>3</v>
      </c>
      <c r="C653" s="36">
        <v>900248002084626</v>
      </c>
      <c r="D653" s="36">
        <v>900248002084626</v>
      </c>
      <c r="E653" s="1">
        <f t="shared" si="10"/>
        <v>44967</v>
      </c>
      <c r="F653" s="51">
        <v>44967.016469907401</v>
      </c>
      <c r="G653" s="51">
        <v>44967.019467592603</v>
      </c>
      <c r="H653" s="52">
        <v>2.8240740740740002E-3</v>
      </c>
      <c r="I653">
        <v>0.39527776837348899</v>
      </c>
      <c r="J653">
        <v>9686.8333108285606</v>
      </c>
      <c r="K653">
        <v>107.54735735917301</v>
      </c>
    </row>
    <row r="654" spans="1:11" x14ac:dyDescent="0.25">
      <c r="A654" t="str">
        <f>VLOOKUP(C654,'[2]Ensaio 1'!$A$2:$E$28,5,FALSE)</f>
        <v>Control</v>
      </c>
      <c r="B654">
        <f>VLOOKUP(C654,'[2]Ensaio 1'!$A$2:$F$28,6,FALSE)</f>
        <v>3</v>
      </c>
      <c r="C654" s="36">
        <v>960000003827766</v>
      </c>
      <c r="D654" s="36">
        <v>960000003827766</v>
      </c>
      <c r="E654" s="1">
        <f t="shared" si="10"/>
        <v>44967</v>
      </c>
      <c r="F654" s="51">
        <v>44967.140868055598</v>
      </c>
      <c r="G654" s="51">
        <v>44967.144305555601</v>
      </c>
      <c r="H654" s="52">
        <v>2.743055555556E-3</v>
      </c>
      <c r="I654">
        <v>3.3808333873748779</v>
      </c>
      <c r="J654">
        <v>8810.8426269222291</v>
      </c>
      <c r="K654">
        <v>87.418660025895505</v>
      </c>
    </row>
    <row r="655" spans="1:11" x14ac:dyDescent="0.25">
      <c r="A655" t="str">
        <f>VLOOKUP(C655,'[2]Ensaio 1'!$A$2:$E$28,5,FALSE)</f>
        <v>Control</v>
      </c>
      <c r="B655">
        <f>VLOOKUP(C655,'[2]Ensaio 1'!$A$2:$F$28,6,FALSE)</f>
        <v>3</v>
      </c>
      <c r="C655" s="36">
        <v>960000003664778</v>
      </c>
      <c r="D655" s="36">
        <v>960000003664778</v>
      </c>
      <c r="E655" s="1">
        <f t="shared" si="10"/>
        <v>44967</v>
      </c>
      <c r="F655" s="51">
        <v>44967.144675925898</v>
      </c>
      <c r="G655" s="51">
        <v>44967.148472222201</v>
      </c>
      <c r="H655" s="52">
        <v>3.541666666667E-3</v>
      </c>
      <c r="I655">
        <v>3.4722223281860352</v>
      </c>
      <c r="J655">
        <v>8308.8399791896609</v>
      </c>
      <c r="K655">
        <v>96.656451445613996</v>
      </c>
    </row>
    <row r="656" spans="1:11" x14ac:dyDescent="0.25">
      <c r="A656" t="str">
        <f>VLOOKUP(C656,'[2]Ensaio 1'!$A$2:$E$28,5,FALSE)</f>
        <v>Control</v>
      </c>
      <c r="B656">
        <f>VLOOKUP(C656,'[2]Ensaio 1'!$A$2:$F$28,6,FALSE)</f>
        <v>3</v>
      </c>
      <c r="C656" s="36">
        <v>960000003608633</v>
      </c>
      <c r="D656" s="36">
        <v>960000003608633</v>
      </c>
      <c r="E656" s="1">
        <f t="shared" si="10"/>
        <v>44967</v>
      </c>
      <c r="F656" s="51">
        <v>44967.153703703698</v>
      </c>
      <c r="G656" s="51">
        <v>44967.1573263889</v>
      </c>
      <c r="H656" s="52">
        <v>3.576388888889E-3</v>
      </c>
      <c r="I656">
        <v>3.688888788223267</v>
      </c>
      <c r="J656">
        <v>8810.9908665404</v>
      </c>
      <c r="K656">
        <v>103.41397908192999</v>
      </c>
    </row>
    <row r="657" spans="1:11" x14ac:dyDescent="0.25">
      <c r="A657" t="str">
        <f>VLOOKUP(C657,'[2]Ensaio 1'!$A$2:$E$28,5,FALSE)</f>
        <v>Control</v>
      </c>
      <c r="B657">
        <f>VLOOKUP(C657,'[2]Ensaio 1'!$A$2:$F$28,6,FALSE)</f>
        <v>3</v>
      </c>
      <c r="C657" s="36">
        <v>960000003688522</v>
      </c>
      <c r="D657" s="36">
        <v>960000003688522</v>
      </c>
      <c r="E657" s="1">
        <f t="shared" si="10"/>
        <v>44967</v>
      </c>
      <c r="F657" s="51">
        <v>44967.286215277803</v>
      </c>
      <c r="G657" s="51">
        <v>44967.290393518502</v>
      </c>
      <c r="H657" s="52">
        <v>2.9282407407410001E-3</v>
      </c>
      <c r="I657">
        <v>6.8691668510437012</v>
      </c>
      <c r="J657">
        <v>8493.4836514835406</v>
      </c>
      <c r="K657">
        <v>114.25912206949801</v>
      </c>
    </row>
    <row r="658" spans="1:11" x14ac:dyDescent="0.25">
      <c r="A658" t="str">
        <f>VLOOKUP(C658,'[2]Ensaio 1'!$A$2:$E$28,5,FALSE)</f>
        <v>Control</v>
      </c>
      <c r="B658">
        <f>VLOOKUP(C658,'[2]Ensaio 1'!$A$2:$F$28,6,FALSE)</f>
        <v>3</v>
      </c>
      <c r="C658" s="36">
        <v>900248002084626</v>
      </c>
      <c r="D658" s="36">
        <v>900248002084626</v>
      </c>
      <c r="E658" s="1">
        <f t="shared" si="10"/>
        <v>44967</v>
      </c>
      <c r="F658" s="51">
        <v>44967.3503935185</v>
      </c>
      <c r="G658" s="51">
        <v>44967.353784722203</v>
      </c>
      <c r="H658" s="52">
        <v>3.2291666666670001E-3</v>
      </c>
      <c r="I658">
        <v>8.4094448089599609</v>
      </c>
      <c r="J658">
        <v>8716.8450202331896</v>
      </c>
      <c r="K658">
        <v>93.301047067500704</v>
      </c>
    </row>
    <row r="659" spans="1:11" x14ac:dyDescent="0.25">
      <c r="A659" t="str">
        <f>VLOOKUP(C659,'[2]Ensaio 1'!$A$2:$E$28,5,FALSE)</f>
        <v>Control</v>
      </c>
      <c r="B659">
        <f>VLOOKUP(C659,'[2]Ensaio 1'!$A$2:$F$28,6,FALSE)</f>
        <v>3</v>
      </c>
      <c r="C659" s="36">
        <v>960000003664778</v>
      </c>
      <c r="D659" s="36">
        <v>960000003664778</v>
      </c>
      <c r="E659" s="1">
        <f t="shared" si="10"/>
        <v>44967</v>
      </c>
      <c r="F659" s="51">
        <v>44967.369953703703</v>
      </c>
      <c r="G659" s="51">
        <v>44967.373668981498</v>
      </c>
      <c r="H659" s="52">
        <v>3.5532407407409998E-3</v>
      </c>
      <c r="I659">
        <v>8.8788890838623047</v>
      </c>
      <c r="J659">
        <v>8480.1183206178703</v>
      </c>
      <c r="K659">
        <v>153.946909582449</v>
      </c>
    </row>
    <row r="660" spans="1:11" x14ac:dyDescent="0.25">
      <c r="A660" t="str">
        <f>VLOOKUP(C660,'[2]Ensaio 1'!$A$2:$E$28,5,FALSE)</f>
        <v>Control</v>
      </c>
      <c r="B660">
        <f>VLOOKUP(C660,'[2]Ensaio 1'!$A$2:$F$28,6,FALSE)</f>
        <v>3</v>
      </c>
      <c r="C660" s="36">
        <v>960000003608633</v>
      </c>
      <c r="D660" s="36">
        <v>960000003608633</v>
      </c>
      <c r="E660" s="1">
        <f t="shared" si="10"/>
        <v>44967</v>
      </c>
      <c r="F660" s="51">
        <v>44967.3972222222</v>
      </c>
      <c r="G660" s="51">
        <v>44967.400659722203</v>
      </c>
      <c r="H660" s="52">
        <v>2.8009259259260001E-3</v>
      </c>
      <c r="I660">
        <v>9.5333337783813477</v>
      </c>
      <c r="J660">
        <v>10395.1845701409</v>
      </c>
      <c r="K660">
        <v>178.48302489539</v>
      </c>
    </row>
    <row r="661" spans="1:11" x14ac:dyDescent="0.25">
      <c r="A661" t="str">
        <f>VLOOKUP(C661,'[2]Ensaio 1'!$A$2:$E$28,5,FALSE)</f>
        <v>Control</v>
      </c>
      <c r="B661">
        <f>VLOOKUP(C661,'[2]Ensaio 1'!$A$2:$F$28,6,FALSE)</f>
        <v>3</v>
      </c>
      <c r="C661" s="36">
        <v>960000003827766</v>
      </c>
      <c r="D661" s="36">
        <v>960000003827766</v>
      </c>
      <c r="E661" s="1">
        <f t="shared" si="10"/>
        <v>44967</v>
      </c>
      <c r="F661" s="51">
        <v>44967.410358796304</v>
      </c>
      <c r="G661" s="51">
        <v>44967.4133912037</v>
      </c>
      <c r="H661" s="52">
        <v>2.7777777777779999E-3</v>
      </c>
      <c r="I661">
        <v>9.8486108779907227</v>
      </c>
      <c r="J661">
        <v>9018.9949685840493</v>
      </c>
      <c r="K661">
        <v>153.657772125425</v>
      </c>
    </row>
    <row r="662" spans="1:11" x14ac:dyDescent="0.25">
      <c r="A662" t="str">
        <f>VLOOKUP(C662,'[2]Ensaio 1'!$A$2:$E$28,5,FALSE)</f>
        <v>Control</v>
      </c>
      <c r="B662">
        <f>VLOOKUP(C662,'[2]Ensaio 1'!$A$2:$F$28,6,FALSE)</f>
        <v>3</v>
      </c>
      <c r="C662" s="36">
        <v>960000003688522</v>
      </c>
      <c r="D662" s="36">
        <v>960000003688522</v>
      </c>
      <c r="E662" s="1">
        <f t="shared" si="10"/>
        <v>44967</v>
      </c>
      <c r="F662" s="51">
        <v>44967.607071759303</v>
      </c>
      <c r="G662" s="51">
        <v>44967.610833333303</v>
      </c>
      <c r="H662" s="52">
        <v>3.4259259259260002E-3</v>
      </c>
      <c r="I662">
        <v>14.569722175598145</v>
      </c>
      <c r="J662">
        <v>7801.53153402105</v>
      </c>
      <c r="K662">
        <v>106.21414699891599</v>
      </c>
    </row>
    <row r="663" spans="1:11" x14ac:dyDescent="0.25">
      <c r="A663" t="str">
        <f>VLOOKUP(C663,'[2]Ensaio 1'!$A$2:$E$28,5,FALSE)</f>
        <v>Control</v>
      </c>
      <c r="B663">
        <f>VLOOKUP(C663,'[2]Ensaio 1'!$A$2:$F$28,6,FALSE)</f>
        <v>3</v>
      </c>
      <c r="C663" s="36">
        <v>960000003664778</v>
      </c>
      <c r="D663" s="36">
        <v>960000003664778</v>
      </c>
      <c r="E663" s="1">
        <f t="shared" si="10"/>
        <v>44967</v>
      </c>
      <c r="F663" s="51">
        <v>44967.621631944399</v>
      </c>
      <c r="G663" s="51">
        <v>44967.624780092599</v>
      </c>
      <c r="H663" s="52">
        <v>3.0208333333330002E-3</v>
      </c>
      <c r="I663">
        <v>14.919166564941406</v>
      </c>
      <c r="J663">
        <v>8038.34356535396</v>
      </c>
      <c r="K663">
        <v>131.04429595236701</v>
      </c>
    </row>
    <row r="664" spans="1:11" x14ac:dyDescent="0.25">
      <c r="A664" t="str">
        <f>VLOOKUP(C664,'[2]Ensaio 1'!$A$2:$E$28,5,FALSE)</f>
        <v>Control</v>
      </c>
      <c r="B664">
        <f>VLOOKUP(C664,'[2]Ensaio 1'!$A$2:$F$28,6,FALSE)</f>
        <v>3</v>
      </c>
      <c r="C664" s="36">
        <v>960000003608633</v>
      </c>
      <c r="D664" s="36">
        <v>960000003608633</v>
      </c>
      <c r="E664" s="1">
        <f t="shared" si="10"/>
        <v>44967</v>
      </c>
      <c r="F664" s="51">
        <v>44967.658379629604</v>
      </c>
      <c r="G664" s="51">
        <v>44967.661967592598</v>
      </c>
      <c r="H664" s="52">
        <v>3.3217592592590002E-3</v>
      </c>
      <c r="I664">
        <v>15.801111221313477</v>
      </c>
      <c r="J664">
        <v>9063.1738232484804</v>
      </c>
      <c r="K664">
        <v>121.40779330782399</v>
      </c>
    </row>
    <row r="665" spans="1:11" x14ac:dyDescent="0.25">
      <c r="A665" t="str">
        <f>VLOOKUP(C665,'[2]Ensaio 1'!$A$2:$E$28,5,FALSE)</f>
        <v>Control</v>
      </c>
      <c r="B665">
        <f>VLOOKUP(C665,'[2]Ensaio 1'!$A$2:$F$28,6,FALSE)</f>
        <v>3</v>
      </c>
      <c r="C665" s="36">
        <v>960000003827766</v>
      </c>
      <c r="D665" s="36">
        <v>960000003827766</v>
      </c>
      <c r="E665" s="1">
        <f t="shared" si="10"/>
        <v>44967</v>
      </c>
      <c r="F665" s="51">
        <v>44967.666747685202</v>
      </c>
      <c r="G665" s="51">
        <v>44967.669675925899</v>
      </c>
      <c r="H665" s="52">
        <v>2.5925925925930002E-3</v>
      </c>
      <c r="I665">
        <v>16.001943588256836</v>
      </c>
      <c r="J665">
        <v>9584.9092314806294</v>
      </c>
      <c r="K665">
        <v>183.871897931528</v>
      </c>
    </row>
    <row r="666" spans="1:11" x14ac:dyDescent="0.25">
      <c r="A666" t="str">
        <f>VLOOKUP(C666,'[2]Ensaio 1'!$A$2:$E$28,5,FALSE)</f>
        <v>Control</v>
      </c>
      <c r="B666">
        <f>VLOOKUP(C666,'[2]Ensaio 1'!$A$2:$F$28,6,FALSE)</f>
        <v>3</v>
      </c>
      <c r="C666" s="36">
        <v>900248002084626</v>
      </c>
      <c r="D666" s="36">
        <v>900248002084626</v>
      </c>
      <c r="E666" s="1">
        <f t="shared" si="10"/>
        <v>44967</v>
      </c>
      <c r="F666" s="51">
        <v>44967.672037037002</v>
      </c>
      <c r="G666" s="51">
        <v>44967.676446759302</v>
      </c>
      <c r="H666" s="52">
        <v>3.5879629629629998E-3</v>
      </c>
      <c r="I666">
        <v>16.128889083862305</v>
      </c>
      <c r="J666">
        <v>9473.9265625237604</v>
      </c>
      <c r="K666">
        <v>117.919808764103</v>
      </c>
    </row>
    <row r="667" spans="1:11" x14ac:dyDescent="0.25">
      <c r="A667" t="str">
        <f>VLOOKUP(C667,'[2]Ensaio 1'!$A$2:$E$28,5,FALSE)</f>
        <v>Control</v>
      </c>
      <c r="B667">
        <f>VLOOKUP(C667,'[2]Ensaio 1'!$A$2:$F$28,6,FALSE)</f>
        <v>3</v>
      </c>
      <c r="C667" s="36">
        <v>900248002084626</v>
      </c>
      <c r="D667" s="36">
        <v>900248002084626</v>
      </c>
      <c r="E667" s="1">
        <f t="shared" si="10"/>
        <v>44967</v>
      </c>
      <c r="F667" s="51">
        <v>44967.769675925898</v>
      </c>
      <c r="G667" s="51">
        <v>44967.772094907399</v>
      </c>
      <c r="H667" s="52">
        <v>2.3495370370369998E-3</v>
      </c>
      <c r="I667">
        <v>18.472221374511719</v>
      </c>
      <c r="J667">
        <v>10771.871229572</v>
      </c>
      <c r="K667">
        <v>148.23844961540399</v>
      </c>
    </row>
    <row r="668" spans="1:11" x14ac:dyDescent="0.25">
      <c r="A668" t="str">
        <f>VLOOKUP(C668,'[2]Ensaio 1'!$A$2:$E$28,5,FALSE)</f>
        <v>Control</v>
      </c>
      <c r="B668">
        <f>VLOOKUP(C668,'[2]Ensaio 1'!$A$2:$F$28,6,FALSE)</f>
        <v>3</v>
      </c>
      <c r="C668" s="36">
        <v>900248002084626</v>
      </c>
      <c r="D668" s="36">
        <v>900248002084626</v>
      </c>
      <c r="E668" s="1">
        <f t="shared" si="10"/>
        <v>44967</v>
      </c>
      <c r="F668" s="51">
        <v>44967.887627314798</v>
      </c>
      <c r="G668" s="51">
        <v>44967.891018518501</v>
      </c>
      <c r="H668" s="52">
        <v>3.2986111111110001E-3</v>
      </c>
      <c r="I668">
        <v>21.303054809570313</v>
      </c>
      <c r="J668">
        <v>9347.6264663814109</v>
      </c>
      <c r="K668">
        <v>89.143786260087893</v>
      </c>
    </row>
    <row r="669" spans="1:11" x14ac:dyDescent="0.25">
      <c r="A669" t="str">
        <f>VLOOKUP(C669,'[2]Ensaio 1'!$A$2:$E$28,5,FALSE)</f>
        <v>Control</v>
      </c>
      <c r="B669">
        <f>VLOOKUP(C669,'[2]Ensaio 1'!$A$2:$F$28,6,FALSE)</f>
        <v>3</v>
      </c>
      <c r="C669" s="36">
        <v>960000003608633</v>
      </c>
      <c r="D669" s="36">
        <v>960000003608633</v>
      </c>
      <c r="E669" s="1">
        <f t="shared" si="10"/>
        <v>44967</v>
      </c>
      <c r="F669" s="51">
        <v>44967.901354166701</v>
      </c>
      <c r="G669" s="51">
        <v>44967.904606481497</v>
      </c>
      <c r="H669" s="52">
        <v>3.206018518519E-3</v>
      </c>
      <c r="I669">
        <v>21.632499694824219</v>
      </c>
      <c r="J669">
        <v>10015.7969315385</v>
      </c>
      <c r="K669">
        <v>124.40877180165199</v>
      </c>
    </row>
    <row r="670" spans="1:11" x14ac:dyDescent="0.25">
      <c r="A670" t="str">
        <f>VLOOKUP(C670,'[2]Ensaio 1'!$A$2:$E$28,5,FALSE)</f>
        <v>Control</v>
      </c>
      <c r="B670">
        <f>VLOOKUP(C670,'[2]Ensaio 1'!$A$2:$F$28,6,FALSE)</f>
        <v>3</v>
      </c>
      <c r="C670" s="36">
        <v>960000003827766</v>
      </c>
      <c r="D670" s="36">
        <v>960000003827766</v>
      </c>
      <c r="E670" s="1">
        <f t="shared" si="10"/>
        <v>44967</v>
      </c>
      <c r="F670" s="51">
        <v>44967.905451388899</v>
      </c>
      <c r="G670" s="51">
        <v>44967.909027777801</v>
      </c>
      <c r="H670" s="52">
        <v>3.2986111111110001E-3</v>
      </c>
      <c r="I670">
        <v>21.730833053588867</v>
      </c>
      <c r="J670">
        <v>8989.4073174672903</v>
      </c>
      <c r="K670">
        <v>105.708624280314</v>
      </c>
    </row>
    <row r="671" spans="1:11" x14ac:dyDescent="0.25">
      <c r="A671" t="str">
        <f>VLOOKUP(C671,'[2]Ensaio 1'!$A$2:$E$28,5,FALSE)</f>
        <v>Control</v>
      </c>
      <c r="B671">
        <f>VLOOKUP(C671,'[2]Ensaio 1'!$A$2:$F$28,6,FALSE)</f>
        <v>3</v>
      </c>
      <c r="C671" s="36">
        <v>960000003664778</v>
      </c>
      <c r="D671" s="36">
        <v>960000003664778</v>
      </c>
      <c r="E671" s="1">
        <f t="shared" si="10"/>
        <v>44967</v>
      </c>
      <c r="F671" s="51">
        <v>44967.9203472222</v>
      </c>
      <c r="G671" s="51">
        <v>44967.9238078704</v>
      </c>
      <c r="H671" s="52">
        <v>3.402777777778E-3</v>
      </c>
      <c r="I671">
        <v>22.088333129882813</v>
      </c>
      <c r="J671">
        <v>8655.0012901113205</v>
      </c>
      <c r="K671">
        <v>105.943890705012</v>
      </c>
    </row>
    <row r="672" spans="1:11" x14ac:dyDescent="0.25">
      <c r="A672" t="str">
        <f>VLOOKUP(C672,'[2]Ensaio 1'!$A$2:$E$28,5,FALSE)</f>
        <v>Control</v>
      </c>
      <c r="B672">
        <f>VLOOKUP(C672,'[2]Ensaio 1'!$A$2:$F$28,6,FALSE)</f>
        <v>3</v>
      </c>
      <c r="C672" s="36">
        <v>900248002084626</v>
      </c>
      <c r="D672" s="36">
        <v>900248002084626</v>
      </c>
      <c r="E672" s="1">
        <f t="shared" si="10"/>
        <v>44968</v>
      </c>
      <c r="F672" s="51">
        <v>44968.007175925901</v>
      </c>
      <c r="G672" s="51">
        <v>44968.010682870401</v>
      </c>
      <c r="H672" s="52">
        <v>3.3101851851849999E-3</v>
      </c>
      <c r="I672">
        <v>0.17222222685813901</v>
      </c>
      <c r="J672">
        <v>9925.4068679771208</v>
      </c>
      <c r="K672">
        <v>108.690388085566</v>
      </c>
    </row>
    <row r="673" spans="1:11" x14ac:dyDescent="0.25">
      <c r="A673" t="str">
        <f>VLOOKUP(C673,'[2]Ensaio 1'!$A$2:$E$28,5,FALSE)</f>
        <v>Control</v>
      </c>
      <c r="B673">
        <f>VLOOKUP(C673,'[2]Ensaio 1'!$A$2:$F$28,6,FALSE)</f>
        <v>3</v>
      </c>
      <c r="C673" s="36">
        <v>960000003827766</v>
      </c>
      <c r="D673" s="36">
        <v>960000003827766</v>
      </c>
      <c r="E673" s="1">
        <f t="shared" si="10"/>
        <v>44968</v>
      </c>
      <c r="F673" s="51">
        <v>44968.012905092597</v>
      </c>
      <c r="G673" s="51">
        <v>44968.015821759298</v>
      </c>
      <c r="H673" s="52">
        <v>2.5925925925930002E-3</v>
      </c>
      <c r="I673">
        <v>0.30972221493721003</v>
      </c>
      <c r="J673">
        <v>9197.5523278289493</v>
      </c>
      <c r="K673">
        <v>148.87993477243899</v>
      </c>
    </row>
    <row r="674" spans="1:11" x14ac:dyDescent="0.25">
      <c r="A674" t="str">
        <f>VLOOKUP(C674,'[2]Ensaio 1'!$A$2:$E$28,5,FALSE)</f>
        <v>Control</v>
      </c>
      <c r="B674">
        <f>VLOOKUP(C674,'[2]Ensaio 1'!$A$2:$F$28,6,FALSE)</f>
        <v>3</v>
      </c>
      <c r="C674" s="36">
        <v>960000003664778</v>
      </c>
      <c r="D674" s="36">
        <v>960000003664778</v>
      </c>
      <c r="E674" s="1">
        <f t="shared" si="10"/>
        <v>44968</v>
      </c>
      <c r="F674" s="51">
        <v>44968.151643518497</v>
      </c>
      <c r="G674" s="51">
        <v>44968.153854166703</v>
      </c>
      <c r="H674" s="52">
        <v>2.1759259259259999E-3</v>
      </c>
      <c r="I674">
        <v>3.6394443511962891</v>
      </c>
      <c r="J674">
        <v>9674.6249266587893</v>
      </c>
      <c r="K674">
        <v>182.924168923286</v>
      </c>
    </row>
    <row r="675" spans="1:11" x14ac:dyDescent="0.25">
      <c r="A675" t="str">
        <f>VLOOKUP(C675,'[2]Ensaio 1'!$A$2:$E$28,5,FALSE)</f>
        <v>Control</v>
      </c>
      <c r="B675">
        <f>VLOOKUP(C675,'[2]Ensaio 1'!$A$2:$F$28,6,FALSE)</f>
        <v>3</v>
      </c>
      <c r="C675" s="36">
        <v>960000003827766</v>
      </c>
      <c r="D675" s="36">
        <v>960000003827766</v>
      </c>
      <c r="E675" s="1">
        <f t="shared" si="10"/>
        <v>44968</v>
      </c>
      <c r="F675" s="51">
        <v>44968.299189814803</v>
      </c>
      <c r="G675" s="51">
        <v>44968.302291666703</v>
      </c>
      <c r="H675" s="52">
        <v>2.5578703703700001E-3</v>
      </c>
      <c r="I675">
        <v>7.1805553436279297</v>
      </c>
      <c r="J675">
        <v>7965.5828625444201</v>
      </c>
      <c r="K675">
        <v>58.634980333710999</v>
      </c>
    </row>
    <row r="676" spans="1:11" x14ac:dyDescent="0.25">
      <c r="A676" t="str">
        <f>VLOOKUP(C676,'[2]Ensaio 1'!$A$2:$E$28,5,FALSE)</f>
        <v>Control</v>
      </c>
      <c r="B676">
        <f>VLOOKUP(C676,'[2]Ensaio 1'!$A$2:$F$28,6,FALSE)</f>
        <v>3</v>
      </c>
      <c r="C676" s="36">
        <v>960000003688522</v>
      </c>
      <c r="D676" s="36">
        <v>960000003688522</v>
      </c>
      <c r="E676" s="1">
        <f t="shared" si="10"/>
        <v>44968</v>
      </c>
      <c r="F676" s="51">
        <v>44968.3102546296</v>
      </c>
      <c r="G676" s="51">
        <v>44968.313553240703</v>
      </c>
      <c r="H676" s="52">
        <v>2.9166666666669999E-3</v>
      </c>
      <c r="I676">
        <v>7.4461112022399902</v>
      </c>
      <c r="J676">
        <v>8210.1921552104795</v>
      </c>
      <c r="K676">
        <v>128.374339095588</v>
      </c>
    </row>
    <row r="677" spans="1:11" x14ac:dyDescent="0.25">
      <c r="A677" t="str">
        <f>VLOOKUP(C677,'[2]Ensaio 1'!$A$2:$E$28,5,FALSE)</f>
        <v>Control</v>
      </c>
      <c r="B677">
        <f>VLOOKUP(C677,'[2]Ensaio 1'!$A$2:$F$28,6,FALSE)</f>
        <v>3</v>
      </c>
      <c r="C677" s="36">
        <v>960000003664778</v>
      </c>
      <c r="D677" s="36">
        <v>960000003664778</v>
      </c>
      <c r="E677" s="1">
        <f t="shared" si="10"/>
        <v>44968</v>
      </c>
      <c r="F677" s="51">
        <v>44968.314259259299</v>
      </c>
      <c r="G677" s="51">
        <v>44968.316678240699</v>
      </c>
      <c r="H677" s="52">
        <v>2.002314814815E-3</v>
      </c>
      <c r="I677">
        <v>7.5422220230102539</v>
      </c>
      <c r="J677">
        <v>6650.33713885007</v>
      </c>
      <c r="K677">
        <v>78.626054055202701</v>
      </c>
    </row>
    <row r="678" spans="1:11" x14ac:dyDescent="0.25">
      <c r="A678" t="str">
        <f>VLOOKUP(C678,'[2]Ensaio 1'!$A$2:$E$28,5,FALSE)</f>
        <v>Control</v>
      </c>
      <c r="B678">
        <f>VLOOKUP(C678,'[2]Ensaio 1'!$A$2:$F$28,6,FALSE)</f>
        <v>3</v>
      </c>
      <c r="C678" s="36">
        <v>900248002084626</v>
      </c>
      <c r="D678" s="36">
        <v>900248002084626</v>
      </c>
      <c r="E678" s="1">
        <f t="shared" si="10"/>
        <v>44968</v>
      </c>
      <c r="F678" s="51">
        <v>44968.331979166702</v>
      </c>
      <c r="G678" s="51">
        <v>44968.335868055598</v>
      </c>
      <c r="H678" s="52">
        <v>3.0092592592589999E-3</v>
      </c>
      <c r="I678">
        <v>7.9675002098083496</v>
      </c>
      <c r="J678">
        <v>8925.9884015713706</v>
      </c>
      <c r="K678">
        <v>102.675858458812</v>
      </c>
    </row>
    <row r="679" spans="1:11" x14ac:dyDescent="0.25">
      <c r="A679" t="str">
        <f>VLOOKUP(C679,'[2]Ensaio 1'!$A$2:$E$28,5,FALSE)</f>
        <v>Control</v>
      </c>
      <c r="B679">
        <f>VLOOKUP(C679,'[2]Ensaio 1'!$A$2:$F$28,6,FALSE)</f>
        <v>3</v>
      </c>
      <c r="C679" s="36">
        <v>960000003608633</v>
      </c>
      <c r="D679" s="36">
        <v>960000003608633</v>
      </c>
      <c r="E679" s="1">
        <f t="shared" si="10"/>
        <v>44968</v>
      </c>
      <c r="F679" s="51">
        <v>44968.402939814798</v>
      </c>
      <c r="G679" s="51">
        <v>44968.4061574074</v>
      </c>
      <c r="H679" s="52">
        <v>2.905092592593E-3</v>
      </c>
      <c r="I679">
        <v>9.6705551147460938</v>
      </c>
      <c r="J679">
        <v>9122.3498123134195</v>
      </c>
      <c r="K679">
        <v>101.257566933267</v>
      </c>
    </row>
    <row r="680" spans="1:11" x14ac:dyDescent="0.25">
      <c r="A680" t="str">
        <f>VLOOKUP(C680,'[2]Ensaio 1'!$A$2:$E$28,5,FALSE)</f>
        <v>Control</v>
      </c>
      <c r="B680">
        <f>VLOOKUP(C680,'[2]Ensaio 1'!$A$2:$F$28,6,FALSE)</f>
        <v>3</v>
      </c>
      <c r="C680" s="36">
        <v>960000003664778</v>
      </c>
      <c r="D680" s="36">
        <v>960000003664778</v>
      </c>
      <c r="E680" s="1">
        <f t="shared" si="10"/>
        <v>44968</v>
      </c>
      <c r="F680" s="51">
        <v>44968.467187499999</v>
      </c>
      <c r="G680" s="51">
        <v>44968.469664351898</v>
      </c>
      <c r="H680" s="52">
        <v>2.4305555555560001E-3</v>
      </c>
      <c r="I680">
        <v>11.212499618530273</v>
      </c>
      <c r="J680">
        <v>7766.5431391915399</v>
      </c>
      <c r="K680">
        <v>119.717374237317</v>
      </c>
    </row>
    <row r="681" spans="1:11" x14ac:dyDescent="0.25">
      <c r="A681" t="str">
        <f>VLOOKUP(C681,'[2]Ensaio 1'!$A$2:$E$28,5,FALSE)</f>
        <v>Control</v>
      </c>
      <c r="B681">
        <f>VLOOKUP(C681,'[2]Ensaio 1'!$A$2:$F$28,6,FALSE)</f>
        <v>3</v>
      </c>
      <c r="C681" s="36">
        <v>960000003688522</v>
      </c>
      <c r="D681" s="36">
        <v>960000003688522</v>
      </c>
      <c r="E681" s="1">
        <f t="shared" si="10"/>
        <v>44968</v>
      </c>
      <c r="F681" s="51">
        <v>44968.547129629602</v>
      </c>
      <c r="G681" s="51">
        <v>44968.550335648099</v>
      </c>
      <c r="H681" s="52">
        <v>2.8240740740740002E-3</v>
      </c>
      <c r="I681">
        <v>13.131111145019531</v>
      </c>
      <c r="J681">
        <v>6636.4019647853102</v>
      </c>
      <c r="K681">
        <v>75.064793978095196</v>
      </c>
    </row>
    <row r="682" spans="1:11" x14ac:dyDescent="0.25">
      <c r="A682" t="str">
        <f>VLOOKUP(C682,'[2]Ensaio 1'!$A$2:$E$28,5,FALSE)</f>
        <v>Control</v>
      </c>
      <c r="B682">
        <f>VLOOKUP(C682,'[2]Ensaio 1'!$A$2:$F$28,6,FALSE)</f>
        <v>3</v>
      </c>
      <c r="C682" s="36">
        <v>960000003827766</v>
      </c>
      <c r="D682" s="36">
        <v>960000003827766</v>
      </c>
      <c r="E682" s="1">
        <f t="shared" si="10"/>
        <v>44968</v>
      </c>
      <c r="F682" s="51">
        <v>44968.556284722203</v>
      </c>
      <c r="G682" s="51">
        <v>44968.559201388904</v>
      </c>
      <c r="H682" s="52">
        <v>2.6851851851849998E-3</v>
      </c>
      <c r="I682">
        <v>13.350832939147949</v>
      </c>
      <c r="J682">
        <v>8654.4714506340006</v>
      </c>
      <c r="K682">
        <v>102.313109342025</v>
      </c>
    </row>
    <row r="683" spans="1:11" x14ac:dyDescent="0.25">
      <c r="A683" t="str">
        <f>VLOOKUP(C683,'[2]Ensaio 1'!$A$2:$E$28,5,FALSE)</f>
        <v>Control</v>
      </c>
      <c r="B683">
        <f>VLOOKUP(C683,'[2]Ensaio 1'!$A$2:$F$28,6,FALSE)</f>
        <v>3</v>
      </c>
      <c r="C683" s="36">
        <v>900248002084626</v>
      </c>
      <c r="D683" s="36">
        <v>900248002084626</v>
      </c>
      <c r="E683" s="1">
        <f t="shared" si="10"/>
        <v>44968</v>
      </c>
      <c r="F683" s="51">
        <v>44968.610416666699</v>
      </c>
      <c r="G683" s="51">
        <v>44968.613599536999</v>
      </c>
      <c r="H683" s="52">
        <v>3.1481481481479999E-3</v>
      </c>
      <c r="I683">
        <v>14.649999618530273</v>
      </c>
      <c r="J683">
        <v>8195.3012029606398</v>
      </c>
      <c r="K683">
        <v>84.686988283573797</v>
      </c>
    </row>
    <row r="684" spans="1:11" x14ac:dyDescent="0.25">
      <c r="A684" t="str">
        <f>VLOOKUP(C684,'[2]Ensaio 1'!$A$2:$E$28,5,FALSE)</f>
        <v>Control</v>
      </c>
      <c r="B684">
        <f>VLOOKUP(C684,'[2]Ensaio 1'!$A$2:$F$28,6,FALSE)</f>
        <v>3</v>
      </c>
      <c r="C684" s="36">
        <v>960000003608633</v>
      </c>
      <c r="D684" s="36">
        <v>960000003608633</v>
      </c>
      <c r="E684" s="1">
        <f t="shared" si="10"/>
        <v>44968</v>
      </c>
      <c r="F684" s="51">
        <v>44968.676574074103</v>
      </c>
      <c r="G684" s="51">
        <v>44968.6795949074</v>
      </c>
      <c r="H684" s="52">
        <v>2.9629629629630001E-3</v>
      </c>
      <c r="I684">
        <v>16.237777709960938</v>
      </c>
      <c r="J684">
        <v>10027.2637088473</v>
      </c>
      <c r="K684">
        <v>140.85904416944601</v>
      </c>
    </row>
    <row r="685" spans="1:11" x14ac:dyDescent="0.25">
      <c r="A685" t="str">
        <f>VLOOKUP(C685,'[2]Ensaio 1'!$A$2:$E$28,5,FALSE)</f>
        <v>Control</v>
      </c>
      <c r="B685">
        <f>VLOOKUP(C685,'[2]Ensaio 1'!$A$2:$F$28,6,FALSE)</f>
        <v>3</v>
      </c>
      <c r="C685" s="36">
        <v>900248002084626</v>
      </c>
      <c r="D685" s="36">
        <v>900248002084626</v>
      </c>
      <c r="E685" s="1">
        <f t="shared" si="10"/>
        <v>44968</v>
      </c>
      <c r="F685" s="51">
        <v>44968.867129629602</v>
      </c>
      <c r="G685" s="51">
        <v>44968.869918981502</v>
      </c>
      <c r="H685" s="52">
        <v>2.7083333333329999E-3</v>
      </c>
      <c r="I685">
        <v>20.811111450195313</v>
      </c>
      <c r="J685">
        <v>10473.5108534753</v>
      </c>
      <c r="K685">
        <v>146.95306696735301</v>
      </c>
    </row>
    <row r="686" spans="1:11" x14ac:dyDescent="0.25">
      <c r="A686" t="str">
        <f>VLOOKUP(C686,'[2]Ensaio 1'!$A$2:$E$28,5,FALSE)</f>
        <v>Control</v>
      </c>
      <c r="B686">
        <f>VLOOKUP(C686,'[2]Ensaio 1'!$A$2:$F$28,6,FALSE)</f>
        <v>3</v>
      </c>
      <c r="C686" s="36">
        <v>960000003608633</v>
      </c>
      <c r="D686" s="36">
        <v>960000003608633</v>
      </c>
      <c r="E686" s="1">
        <f t="shared" si="10"/>
        <v>44968</v>
      </c>
      <c r="F686" s="51">
        <v>44968.901215277801</v>
      </c>
      <c r="G686" s="51">
        <v>44968.904918981498</v>
      </c>
      <c r="H686" s="52">
        <v>3.5300925925930001E-3</v>
      </c>
      <c r="I686">
        <v>21.629167556762695</v>
      </c>
      <c r="J686">
        <v>10165.0830411594</v>
      </c>
      <c r="K686">
        <v>122.14878887756601</v>
      </c>
    </row>
    <row r="687" spans="1:11" x14ac:dyDescent="0.25">
      <c r="A687" t="str">
        <f>VLOOKUP(C687,'[2]Ensaio 1'!$A$2:$E$28,5,FALSE)</f>
        <v>Control</v>
      </c>
      <c r="B687">
        <f>VLOOKUP(C687,'[2]Ensaio 1'!$A$2:$F$28,6,FALSE)</f>
        <v>3</v>
      </c>
      <c r="C687" s="36">
        <v>960000003688522</v>
      </c>
      <c r="D687" s="36">
        <v>960000003688522</v>
      </c>
      <c r="E687" s="1">
        <f t="shared" si="10"/>
        <v>44968</v>
      </c>
      <c r="F687" s="51">
        <v>44968.918449074103</v>
      </c>
      <c r="G687" s="51">
        <v>44968.9217361111</v>
      </c>
      <c r="H687" s="52">
        <v>2.7893518518520002E-3</v>
      </c>
      <c r="I687">
        <v>22.042778015136719</v>
      </c>
      <c r="J687">
        <v>8344.9594244681593</v>
      </c>
      <c r="K687">
        <v>116.848017531564</v>
      </c>
    </row>
    <row r="688" spans="1:11" x14ac:dyDescent="0.25">
      <c r="A688" t="str">
        <f>VLOOKUP(C688,'[2]Ensaio 1'!$A$2:$E$28,5,FALSE)</f>
        <v>Control</v>
      </c>
      <c r="B688">
        <f>VLOOKUP(C688,'[2]Ensaio 1'!$A$2:$F$28,6,FALSE)</f>
        <v>3</v>
      </c>
      <c r="C688" s="36">
        <v>960000003664778</v>
      </c>
      <c r="D688" s="36">
        <v>960000003664778</v>
      </c>
      <c r="E688" s="1">
        <f t="shared" si="10"/>
        <v>44968</v>
      </c>
      <c r="F688" s="51">
        <v>44968.922256944403</v>
      </c>
      <c r="G688" s="51">
        <v>44968.925891203697</v>
      </c>
      <c r="H688" s="52">
        <v>3.576388888889E-3</v>
      </c>
      <c r="I688">
        <v>22.134166717529297</v>
      </c>
      <c r="J688">
        <v>8839.6279807691899</v>
      </c>
      <c r="K688">
        <v>132.24394360740999</v>
      </c>
    </row>
    <row r="689" spans="1:11" x14ac:dyDescent="0.25">
      <c r="A689" t="str">
        <f>VLOOKUP(C689,'[2]Ensaio 1'!$A$2:$E$28,5,FALSE)</f>
        <v>Control</v>
      </c>
      <c r="B689">
        <f>VLOOKUP(C689,'[2]Ensaio 1'!$A$2:$F$28,6,FALSE)</f>
        <v>3</v>
      </c>
      <c r="C689" s="36">
        <v>960000003827766</v>
      </c>
      <c r="D689" s="36">
        <v>960000003827766</v>
      </c>
      <c r="E689" s="1">
        <f t="shared" si="10"/>
        <v>44968</v>
      </c>
      <c r="F689" s="51">
        <v>44968.981469907398</v>
      </c>
      <c r="G689" s="51">
        <v>44968.982974537001</v>
      </c>
      <c r="H689" s="52">
        <v>1.481481481481E-3</v>
      </c>
      <c r="I689">
        <v>23.555276870727539</v>
      </c>
      <c r="J689">
        <v>11071.381726096</v>
      </c>
      <c r="K689">
        <v>97.905748149266699</v>
      </c>
    </row>
    <row r="690" spans="1:11" x14ac:dyDescent="0.25">
      <c r="A690" t="str">
        <f>VLOOKUP(C690,'[2]Ensaio 1'!$A$2:$E$28,5,FALSE)</f>
        <v>Control</v>
      </c>
      <c r="B690">
        <f>VLOOKUP(C690,'[2]Ensaio 1'!$A$2:$F$28,6,FALSE)</f>
        <v>3</v>
      </c>
      <c r="C690" s="36">
        <v>960000003608633</v>
      </c>
      <c r="D690" s="36">
        <v>960000003608633</v>
      </c>
      <c r="E690" s="1">
        <f t="shared" si="10"/>
        <v>44969</v>
      </c>
      <c r="F690" s="51">
        <v>44969.050983796304</v>
      </c>
      <c r="G690" s="51">
        <v>44969.053935185198</v>
      </c>
      <c r="H690" s="52">
        <v>2.2800925925929999E-3</v>
      </c>
      <c r="I690">
        <v>1.223611116409302</v>
      </c>
      <c r="J690">
        <v>8544.2712024120501</v>
      </c>
      <c r="K690">
        <v>80.523371841378193</v>
      </c>
    </row>
    <row r="691" spans="1:11" x14ac:dyDescent="0.25">
      <c r="A691" t="str">
        <f>VLOOKUP(C691,'[2]Ensaio 1'!$A$2:$E$28,5,FALSE)</f>
        <v>Control</v>
      </c>
      <c r="B691">
        <f>VLOOKUP(C691,'[2]Ensaio 1'!$A$2:$F$28,6,FALSE)</f>
        <v>3</v>
      </c>
      <c r="C691" s="36">
        <v>960000003664778</v>
      </c>
      <c r="D691" s="36">
        <v>960000003664778</v>
      </c>
      <c r="E691" s="1">
        <f t="shared" si="10"/>
        <v>44969</v>
      </c>
      <c r="F691" s="51">
        <v>44969.087337962999</v>
      </c>
      <c r="G691" s="51">
        <v>44969.090486111098</v>
      </c>
      <c r="H691" s="52">
        <v>3.1134259259259999E-3</v>
      </c>
      <c r="I691">
        <v>2.0961110591888432</v>
      </c>
      <c r="J691">
        <v>7869.0722648067604</v>
      </c>
      <c r="K691">
        <v>111.657476989228</v>
      </c>
    </row>
    <row r="692" spans="1:11" x14ac:dyDescent="0.25">
      <c r="A692" t="str">
        <f>VLOOKUP(C692,'[2]Ensaio 1'!$A$2:$E$28,5,FALSE)</f>
        <v>Control</v>
      </c>
      <c r="B692">
        <f>VLOOKUP(C692,'[2]Ensaio 1'!$A$2:$F$28,6,FALSE)</f>
        <v>3</v>
      </c>
      <c r="C692" s="36">
        <v>960000003688522</v>
      </c>
      <c r="D692" s="36">
        <v>960000003688522</v>
      </c>
      <c r="E692" s="1">
        <f t="shared" si="10"/>
        <v>44969</v>
      </c>
      <c r="F692" s="51">
        <v>44969.090659722198</v>
      </c>
      <c r="G692" s="51">
        <v>44969.0942476852</v>
      </c>
      <c r="H692" s="52">
        <v>3.3101851851849999E-3</v>
      </c>
      <c r="I692">
        <v>2.1758332252502441</v>
      </c>
      <c r="J692">
        <v>7921.8159281684502</v>
      </c>
      <c r="K692">
        <v>106.365591137398</v>
      </c>
    </row>
    <row r="693" spans="1:11" x14ac:dyDescent="0.25">
      <c r="A693" t="str">
        <f>VLOOKUP(C693,'[2]Ensaio 1'!$A$2:$E$28,5,FALSE)</f>
        <v>Control</v>
      </c>
      <c r="B693">
        <f>VLOOKUP(C693,'[2]Ensaio 1'!$A$2:$F$28,6,FALSE)</f>
        <v>3</v>
      </c>
      <c r="C693" s="36">
        <v>900248002084626</v>
      </c>
      <c r="D693" s="36">
        <v>900248002084626</v>
      </c>
      <c r="E693" s="1">
        <f t="shared" si="10"/>
        <v>44969</v>
      </c>
      <c r="F693" s="51">
        <v>44969.108645833301</v>
      </c>
      <c r="G693" s="51">
        <v>44969.112013888902</v>
      </c>
      <c r="H693" s="52">
        <v>3.2638888888890001E-3</v>
      </c>
      <c r="I693">
        <v>2.6075000762939449</v>
      </c>
      <c r="J693">
        <v>10045.1343921116</v>
      </c>
      <c r="K693">
        <v>118.083366585405</v>
      </c>
    </row>
    <row r="694" spans="1:11" x14ac:dyDescent="0.25">
      <c r="A694" t="str">
        <f>VLOOKUP(C694,'[2]Ensaio 1'!$A$2:$E$28,5,FALSE)</f>
        <v>Control</v>
      </c>
      <c r="B694">
        <f>VLOOKUP(C694,'[2]Ensaio 1'!$A$2:$F$28,6,FALSE)</f>
        <v>3</v>
      </c>
      <c r="C694" s="36">
        <v>960000003827766</v>
      </c>
      <c r="D694" s="36">
        <v>960000003827766</v>
      </c>
      <c r="E694" s="1">
        <f t="shared" si="10"/>
        <v>44969</v>
      </c>
      <c r="F694" s="51">
        <v>44969.261087963001</v>
      </c>
      <c r="G694" s="51">
        <v>44969.264189814799</v>
      </c>
      <c r="H694" s="52">
        <v>2.2685185185190001E-3</v>
      </c>
      <c r="I694">
        <v>6.266110897064209</v>
      </c>
      <c r="J694">
        <v>7873.04177486138</v>
      </c>
      <c r="K694">
        <v>77.958644295160894</v>
      </c>
    </row>
    <row r="695" spans="1:11" x14ac:dyDescent="0.25">
      <c r="A695" t="str">
        <f>VLOOKUP(C695,'[2]Ensaio 1'!$A$2:$E$28,5,FALSE)</f>
        <v>Control</v>
      </c>
      <c r="B695">
        <f>VLOOKUP(C695,'[2]Ensaio 1'!$A$2:$F$28,6,FALSE)</f>
        <v>3</v>
      </c>
      <c r="C695" s="36">
        <v>960000003688522</v>
      </c>
      <c r="D695" s="36">
        <v>960000003688522</v>
      </c>
      <c r="E695" s="1">
        <f t="shared" si="10"/>
        <v>44969</v>
      </c>
      <c r="F695" s="51">
        <v>44969.317939814799</v>
      </c>
      <c r="G695" s="51">
        <v>44969.321608796301</v>
      </c>
      <c r="H695" s="52">
        <v>2.8819444444439998E-3</v>
      </c>
      <c r="I695">
        <v>7.6305556297302246</v>
      </c>
      <c r="J695">
        <v>6563.9627320168502</v>
      </c>
      <c r="K695">
        <v>82.862005121014306</v>
      </c>
    </row>
    <row r="696" spans="1:11" x14ac:dyDescent="0.25">
      <c r="A696" t="str">
        <f>VLOOKUP(C696,'[2]Ensaio 1'!$A$2:$E$28,5,FALSE)</f>
        <v>Control</v>
      </c>
      <c r="B696">
        <f>VLOOKUP(C696,'[2]Ensaio 1'!$A$2:$F$28,6,FALSE)</f>
        <v>3</v>
      </c>
      <c r="C696" s="36">
        <v>960000003608633</v>
      </c>
      <c r="D696" s="36">
        <v>960000003608633</v>
      </c>
      <c r="E696" s="1">
        <f t="shared" si="10"/>
        <v>44969</v>
      </c>
      <c r="F696" s="51">
        <v>44969.324525463002</v>
      </c>
      <c r="G696" s="51">
        <v>44969.327546296299</v>
      </c>
      <c r="H696" s="52">
        <v>2.905092592593E-3</v>
      </c>
      <c r="I696">
        <v>7.7886109352111816</v>
      </c>
      <c r="J696">
        <v>8833.0975758687491</v>
      </c>
      <c r="K696">
        <v>100.67652483124699</v>
      </c>
    </row>
    <row r="697" spans="1:11" x14ac:dyDescent="0.25">
      <c r="A697" t="str">
        <f>VLOOKUP(C697,'[2]Ensaio 1'!$A$2:$E$28,5,FALSE)</f>
        <v>Control</v>
      </c>
      <c r="B697">
        <f>VLOOKUP(C697,'[2]Ensaio 1'!$A$2:$F$28,6,FALSE)</f>
        <v>3</v>
      </c>
      <c r="C697" s="36">
        <v>900248002084626</v>
      </c>
      <c r="D697" s="36">
        <v>900248002084626</v>
      </c>
      <c r="E697" s="1">
        <f t="shared" si="10"/>
        <v>44969</v>
      </c>
      <c r="F697" s="51">
        <v>44969.329085648104</v>
      </c>
      <c r="G697" s="51">
        <v>44969.332696759302</v>
      </c>
      <c r="H697" s="52">
        <v>3.3564814814810002E-3</v>
      </c>
      <c r="I697">
        <v>7.8980555534362793</v>
      </c>
      <c r="J697">
        <v>9823.7036402664307</v>
      </c>
      <c r="K697">
        <v>148.88148322682599</v>
      </c>
    </row>
    <row r="698" spans="1:11" x14ac:dyDescent="0.25">
      <c r="A698" t="str">
        <f>VLOOKUP(C698,'[2]Ensaio 1'!$A$2:$E$28,5,FALSE)</f>
        <v>Control</v>
      </c>
      <c r="B698">
        <f>VLOOKUP(C698,'[2]Ensaio 1'!$A$2:$F$28,6,FALSE)</f>
        <v>3</v>
      </c>
      <c r="C698" s="36">
        <v>960000003664778</v>
      </c>
      <c r="D698" s="36">
        <v>960000003664778</v>
      </c>
      <c r="E698" s="1">
        <f t="shared" si="10"/>
        <v>44969</v>
      </c>
      <c r="F698" s="51">
        <v>44969.424780092602</v>
      </c>
      <c r="G698" s="51">
        <v>44969.4283796296</v>
      </c>
      <c r="H698" s="52">
        <v>3.506944444444E-3</v>
      </c>
      <c r="I698">
        <v>10.194722175598145</v>
      </c>
      <c r="J698">
        <v>8699.8421868583901</v>
      </c>
      <c r="K698">
        <v>147.41838528240501</v>
      </c>
    </row>
    <row r="699" spans="1:11" x14ac:dyDescent="0.25">
      <c r="A699" t="str">
        <f>VLOOKUP(C699,'[2]Ensaio 1'!$A$2:$E$28,5,FALSE)</f>
        <v>Control</v>
      </c>
      <c r="B699">
        <f>VLOOKUP(C699,'[2]Ensaio 1'!$A$2:$F$28,6,FALSE)</f>
        <v>3</v>
      </c>
      <c r="C699" s="36">
        <v>960000003827766</v>
      </c>
      <c r="D699" s="36">
        <v>960000003827766</v>
      </c>
      <c r="E699" s="1">
        <f t="shared" si="10"/>
        <v>44969</v>
      </c>
      <c r="F699" s="51">
        <v>44969.5206944444</v>
      </c>
      <c r="G699" s="51">
        <v>44969.524212962999</v>
      </c>
      <c r="H699" s="52">
        <v>3.0671296296300001E-3</v>
      </c>
      <c r="I699">
        <v>12.49666690826416</v>
      </c>
      <c r="J699">
        <v>7530.9730696774004</v>
      </c>
      <c r="K699">
        <v>93.041818056647998</v>
      </c>
    </row>
    <row r="700" spans="1:11" x14ac:dyDescent="0.25">
      <c r="A700" t="str">
        <f>VLOOKUP(C700,'[2]Ensaio 1'!$A$2:$E$28,5,FALSE)</f>
        <v>Control</v>
      </c>
      <c r="B700">
        <f>VLOOKUP(C700,'[2]Ensaio 1'!$A$2:$F$28,6,FALSE)</f>
        <v>3</v>
      </c>
      <c r="C700" s="36">
        <v>960000003608633</v>
      </c>
      <c r="D700" s="36">
        <v>960000003608633</v>
      </c>
      <c r="E700" s="1">
        <f t="shared" si="10"/>
        <v>44969</v>
      </c>
      <c r="F700" s="51">
        <v>44969.563611111102</v>
      </c>
      <c r="G700" s="51">
        <v>44969.567118055602</v>
      </c>
      <c r="H700" s="52">
        <v>3.275462962963E-3</v>
      </c>
      <c r="I700">
        <v>13.526666641235352</v>
      </c>
      <c r="J700">
        <v>8611.55347835059</v>
      </c>
      <c r="K700">
        <v>114.02001932685199</v>
      </c>
    </row>
    <row r="701" spans="1:11" x14ac:dyDescent="0.25">
      <c r="A701" t="str">
        <f>VLOOKUP(C701,'[2]Ensaio 1'!$A$2:$E$28,5,FALSE)</f>
        <v>Control</v>
      </c>
      <c r="B701">
        <f>VLOOKUP(C701,'[2]Ensaio 1'!$A$2:$F$28,6,FALSE)</f>
        <v>3</v>
      </c>
      <c r="C701" s="36">
        <v>900248002084626</v>
      </c>
      <c r="D701" s="36">
        <v>900248002084626</v>
      </c>
      <c r="E701" s="1">
        <f t="shared" si="10"/>
        <v>44969</v>
      </c>
      <c r="F701" s="51">
        <v>44969.658240740697</v>
      </c>
      <c r="G701" s="51">
        <v>44969.662430555603</v>
      </c>
      <c r="H701" s="52">
        <v>3.9120370370370004E-3</v>
      </c>
      <c r="I701">
        <v>15.797778129577637</v>
      </c>
      <c r="J701">
        <v>9772.7270047036909</v>
      </c>
      <c r="K701">
        <v>115.36492601082399</v>
      </c>
    </row>
    <row r="702" spans="1:11" x14ac:dyDescent="0.25">
      <c r="A702" t="str">
        <f>VLOOKUP(C702,'[2]Ensaio 1'!$A$2:$E$28,5,FALSE)</f>
        <v>Control</v>
      </c>
      <c r="B702">
        <f>VLOOKUP(C702,'[2]Ensaio 1'!$A$2:$F$28,6,FALSE)</f>
        <v>3</v>
      </c>
      <c r="C702" s="36">
        <v>960000003688522</v>
      </c>
      <c r="D702" s="36">
        <v>960000003688522</v>
      </c>
      <c r="E702" s="1">
        <f t="shared" si="10"/>
        <v>44969</v>
      </c>
      <c r="F702" s="51">
        <v>44969.675833333298</v>
      </c>
      <c r="G702" s="51">
        <v>44969.6791898148</v>
      </c>
      <c r="H702" s="52">
        <v>3.136574074074E-3</v>
      </c>
      <c r="I702">
        <v>16.219999313354492</v>
      </c>
      <c r="J702">
        <v>7441.3224141889596</v>
      </c>
      <c r="K702">
        <v>108.542573002963</v>
      </c>
    </row>
    <row r="703" spans="1:11" x14ac:dyDescent="0.25">
      <c r="A703" t="str">
        <f>VLOOKUP(C703,'[2]Ensaio 1'!$A$2:$E$28,5,FALSE)</f>
        <v>Control</v>
      </c>
      <c r="B703">
        <f>VLOOKUP(C703,'[2]Ensaio 1'!$A$2:$F$28,6,FALSE)</f>
        <v>3</v>
      </c>
      <c r="C703" s="36">
        <v>960000003664778</v>
      </c>
      <c r="D703" s="36">
        <v>960000003664778</v>
      </c>
      <c r="E703" s="1">
        <f t="shared" si="10"/>
        <v>44969</v>
      </c>
      <c r="F703" s="51">
        <v>44969.6819791667</v>
      </c>
      <c r="G703" s="51">
        <v>44969.684918981497</v>
      </c>
      <c r="H703" s="52">
        <v>2.8935185185190002E-3</v>
      </c>
      <c r="I703">
        <v>16.367500305175781</v>
      </c>
      <c r="J703">
        <v>8640.9910490029106</v>
      </c>
      <c r="K703">
        <v>147.41838659541199</v>
      </c>
    </row>
    <row r="704" spans="1:11" x14ac:dyDescent="0.25">
      <c r="A704" t="str">
        <f>VLOOKUP(C704,'[2]Ensaio 1'!$A$2:$E$28,5,FALSE)</f>
        <v>Control</v>
      </c>
      <c r="B704">
        <f>VLOOKUP(C704,'[2]Ensaio 1'!$A$2:$F$28,6,FALSE)</f>
        <v>3</v>
      </c>
      <c r="C704" s="36">
        <v>960000003827766</v>
      </c>
      <c r="D704" s="36">
        <v>960000003827766</v>
      </c>
      <c r="E704" s="1">
        <f t="shared" si="10"/>
        <v>44969</v>
      </c>
      <c r="F704" s="51">
        <v>44969.755405092597</v>
      </c>
      <c r="G704" s="51">
        <v>44969.758738425902</v>
      </c>
      <c r="H704" s="52">
        <v>3.136574074074E-3</v>
      </c>
      <c r="I704">
        <v>18.129722595214844</v>
      </c>
      <c r="J704">
        <v>9775.0587492543309</v>
      </c>
      <c r="K704">
        <v>147.929382048744</v>
      </c>
    </row>
    <row r="705" spans="1:11" x14ac:dyDescent="0.25">
      <c r="A705" t="str">
        <f>VLOOKUP(C705,'[2]Ensaio 1'!$A$2:$E$28,5,FALSE)</f>
        <v>Control</v>
      </c>
      <c r="B705">
        <f>VLOOKUP(C705,'[2]Ensaio 1'!$A$2:$F$28,6,FALSE)</f>
        <v>3</v>
      </c>
      <c r="C705" s="36">
        <v>960000003608633</v>
      </c>
      <c r="D705" s="36">
        <v>960000003608633</v>
      </c>
      <c r="E705" s="1">
        <f t="shared" si="10"/>
        <v>44969</v>
      </c>
      <c r="F705" s="51">
        <v>44969.794039351902</v>
      </c>
      <c r="G705" s="51">
        <v>44969.796990740702</v>
      </c>
      <c r="H705" s="52">
        <v>2.8935185185190002E-3</v>
      </c>
      <c r="I705">
        <v>19.056943893432617</v>
      </c>
      <c r="J705">
        <v>9837.0768341954499</v>
      </c>
      <c r="K705">
        <v>143.61036193353999</v>
      </c>
    </row>
    <row r="706" spans="1:11" x14ac:dyDescent="0.25">
      <c r="A706" t="str">
        <f>VLOOKUP(C706,'[2]Ensaio 1'!$A$2:$E$28,5,FALSE)</f>
        <v>Control</v>
      </c>
      <c r="B706">
        <f>VLOOKUP(C706,'[2]Ensaio 1'!$A$2:$F$28,6,FALSE)</f>
        <v>3</v>
      </c>
      <c r="C706" s="36">
        <v>960000003664778</v>
      </c>
      <c r="D706" s="36">
        <v>960000003664778</v>
      </c>
      <c r="E706" s="1">
        <f t="shared" ref="E706:E769" si="11">ROUNDDOWN(LEFT(F706,10),0)</f>
        <v>44969</v>
      </c>
      <c r="F706" s="51">
        <v>44969.955879629597</v>
      </c>
      <c r="G706" s="51">
        <v>44969.958495370403</v>
      </c>
      <c r="H706" s="52">
        <v>2.4768518518519999E-3</v>
      </c>
      <c r="I706">
        <v>22.941110610961914</v>
      </c>
      <c r="J706">
        <v>10038.3064642266</v>
      </c>
      <c r="K706">
        <v>151.08184455950499</v>
      </c>
    </row>
    <row r="707" spans="1:11" x14ac:dyDescent="0.25">
      <c r="A707" t="str">
        <f>VLOOKUP(C707,'[2]Ensaio 1'!$A$2:$E$28,5,FALSE)</f>
        <v>Control</v>
      </c>
      <c r="B707">
        <f>VLOOKUP(C707,'[2]Ensaio 1'!$A$2:$F$28,6,FALSE)</f>
        <v>3</v>
      </c>
      <c r="C707" s="36">
        <v>900248002084626</v>
      </c>
      <c r="D707" s="36">
        <v>900248002084626</v>
      </c>
      <c r="E707" s="1">
        <f t="shared" si="11"/>
        <v>44969</v>
      </c>
      <c r="F707" s="51">
        <v>44969.964988425898</v>
      </c>
      <c r="G707" s="51">
        <v>44969.9686111111</v>
      </c>
      <c r="H707" s="52">
        <v>3.333333333333E-3</v>
      </c>
      <c r="I707">
        <v>23.159721374511719</v>
      </c>
      <c r="J707">
        <v>9576.1446406518007</v>
      </c>
      <c r="K707">
        <v>89.965938935049095</v>
      </c>
    </row>
    <row r="708" spans="1:11" x14ac:dyDescent="0.25">
      <c r="A708" t="str">
        <f>VLOOKUP(C708,'[2]Ensaio 1'!$A$2:$E$28,5,FALSE)</f>
        <v>Control</v>
      </c>
      <c r="B708">
        <f>VLOOKUP(C708,'[2]Ensaio 1'!$A$2:$F$28,6,FALSE)</f>
        <v>3</v>
      </c>
      <c r="C708" s="36">
        <v>960000003688522</v>
      </c>
      <c r="D708" s="36">
        <v>960000003688522</v>
      </c>
      <c r="E708" s="1">
        <f t="shared" si="11"/>
        <v>44969</v>
      </c>
      <c r="F708" s="51">
        <v>44969.9786805556</v>
      </c>
      <c r="G708" s="51">
        <v>44969.982372685197</v>
      </c>
      <c r="H708" s="52">
        <v>3.5300925925930001E-3</v>
      </c>
      <c r="I708">
        <v>23.488332748413086</v>
      </c>
      <c r="J708">
        <v>7288.8840989094897</v>
      </c>
      <c r="K708">
        <v>90.229629287548704</v>
      </c>
    </row>
    <row r="709" spans="1:11" x14ac:dyDescent="0.25">
      <c r="A709" t="str">
        <f>VLOOKUP(C709,'[2]Ensaio 1'!$A$2:$E$28,5,FALSE)</f>
        <v>Control</v>
      </c>
      <c r="B709">
        <f>VLOOKUP(C709,'[2]Ensaio 1'!$A$2:$F$28,6,FALSE)</f>
        <v>3</v>
      </c>
      <c r="C709" s="36">
        <v>960000003608633</v>
      </c>
      <c r="D709" s="36">
        <v>960000003608633</v>
      </c>
      <c r="E709" s="1">
        <f t="shared" si="11"/>
        <v>44970</v>
      </c>
      <c r="F709" s="51">
        <v>44970.0305324074</v>
      </c>
      <c r="G709" s="51">
        <v>44970.034293981502</v>
      </c>
      <c r="H709" s="52">
        <v>2.7777777777779999E-3</v>
      </c>
      <c r="I709">
        <v>0.73277777433395397</v>
      </c>
      <c r="J709">
        <v>9286.7822048110102</v>
      </c>
      <c r="K709">
        <v>81.035638335053704</v>
      </c>
    </row>
    <row r="710" spans="1:11" x14ac:dyDescent="0.25">
      <c r="A710" t="str">
        <f>VLOOKUP(C710,'[2]Ensaio 1'!$A$2:$E$28,5,FALSE)</f>
        <v>Control</v>
      </c>
      <c r="B710">
        <f>VLOOKUP(C710,'[2]Ensaio 1'!$A$2:$F$28,6,FALSE)</f>
        <v>3</v>
      </c>
      <c r="C710" s="36">
        <v>960000003688522</v>
      </c>
      <c r="D710" s="36">
        <v>960000003688522</v>
      </c>
      <c r="E710" s="1">
        <f t="shared" si="11"/>
        <v>44970</v>
      </c>
      <c r="F710" s="51">
        <v>44970.062280092599</v>
      </c>
      <c r="G710" s="51">
        <v>44970.064525463</v>
      </c>
      <c r="H710" s="52">
        <v>2.2106481481479999E-3</v>
      </c>
      <c r="I710">
        <v>1.494722247123718</v>
      </c>
      <c r="J710">
        <v>7900.9052409176802</v>
      </c>
      <c r="K710">
        <v>127.386334604474</v>
      </c>
    </row>
    <row r="711" spans="1:11" x14ac:dyDescent="0.25">
      <c r="A711" t="str">
        <f>VLOOKUP(C711,'[2]Ensaio 1'!$A$2:$E$28,5,FALSE)</f>
        <v>Control</v>
      </c>
      <c r="B711">
        <f>VLOOKUP(C711,'[2]Ensaio 1'!$A$2:$F$28,6,FALSE)</f>
        <v>3</v>
      </c>
      <c r="C711" s="36">
        <v>960000003827766</v>
      </c>
      <c r="D711" s="36">
        <v>960000003827766</v>
      </c>
      <c r="E711" s="1">
        <f t="shared" si="11"/>
        <v>44970</v>
      </c>
      <c r="F711" s="51">
        <v>44970.103750000002</v>
      </c>
      <c r="G711" s="51">
        <v>44970.106828703698</v>
      </c>
      <c r="H711" s="52">
        <v>2.9513888888889998E-3</v>
      </c>
      <c r="I711">
        <v>2.4900000095367432</v>
      </c>
      <c r="J711">
        <v>9691.44176287345</v>
      </c>
      <c r="K711">
        <v>136.09324878014701</v>
      </c>
    </row>
    <row r="712" spans="1:11" x14ac:dyDescent="0.25">
      <c r="A712" t="str">
        <f>VLOOKUP(C712,'[2]Ensaio 1'!$A$2:$E$28,5,FALSE)</f>
        <v>Control</v>
      </c>
      <c r="B712">
        <f>VLOOKUP(C712,'[2]Ensaio 1'!$A$2:$F$28,6,FALSE)</f>
        <v>3</v>
      </c>
      <c r="C712" s="36">
        <v>960000003608633</v>
      </c>
      <c r="D712" s="36">
        <v>960000003608633</v>
      </c>
      <c r="E712" s="1">
        <f t="shared" si="11"/>
        <v>44970</v>
      </c>
      <c r="F712" s="51">
        <v>44970.274120370399</v>
      </c>
      <c r="G712" s="51">
        <v>44970.277766203697</v>
      </c>
      <c r="H712" s="52">
        <v>2.1180555555559998E-3</v>
      </c>
      <c r="I712">
        <v>6.5788888931274414</v>
      </c>
      <c r="J712">
        <v>8012.2444871445296</v>
      </c>
      <c r="K712">
        <v>74.929264831767696</v>
      </c>
    </row>
    <row r="713" spans="1:11" x14ac:dyDescent="0.25">
      <c r="A713" t="str">
        <f>VLOOKUP(C713,'[2]Ensaio 1'!$A$2:$E$28,5,FALSE)</f>
        <v>Control</v>
      </c>
      <c r="B713">
        <f>VLOOKUP(C713,'[2]Ensaio 1'!$A$2:$F$28,6,FALSE)</f>
        <v>3</v>
      </c>
      <c r="C713" s="36">
        <v>960000003688522</v>
      </c>
      <c r="D713" s="36">
        <v>960000003688522</v>
      </c>
      <c r="E713" s="1">
        <f t="shared" si="11"/>
        <v>44970</v>
      </c>
      <c r="F713" s="51">
        <v>44970.325624999998</v>
      </c>
      <c r="G713" s="51">
        <v>44970.3294328704</v>
      </c>
      <c r="H713" s="52">
        <v>3.2638888888890001E-3</v>
      </c>
      <c r="I713">
        <v>7.815000057220459</v>
      </c>
      <c r="J713">
        <v>6814.3719119295902</v>
      </c>
      <c r="K713">
        <v>65.445226966586205</v>
      </c>
    </row>
    <row r="714" spans="1:11" x14ac:dyDescent="0.25">
      <c r="A714" t="str">
        <f>VLOOKUP(C714,'[2]Ensaio 1'!$A$2:$E$28,5,FALSE)</f>
        <v>Control</v>
      </c>
      <c r="B714">
        <f>VLOOKUP(C714,'[2]Ensaio 1'!$A$2:$F$28,6,FALSE)</f>
        <v>3</v>
      </c>
      <c r="C714" s="36">
        <v>900248002084626</v>
      </c>
      <c r="D714" s="36">
        <v>900248002084626</v>
      </c>
      <c r="E714" s="1">
        <f t="shared" si="11"/>
        <v>44970</v>
      </c>
      <c r="F714" s="51">
        <v>44970.345509259299</v>
      </c>
      <c r="G714" s="51">
        <v>44970.348668981504</v>
      </c>
      <c r="H714" s="52">
        <v>2.7546296296299998E-3</v>
      </c>
      <c r="I714">
        <v>8.2922220230102539</v>
      </c>
      <c r="J714">
        <v>8003.7239038286698</v>
      </c>
      <c r="K714">
        <v>100.82076157257301</v>
      </c>
    </row>
    <row r="715" spans="1:11" x14ac:dyDescent="0.25">
      <c r="A715" t="str">
        <f>VLOOKUP(C715,'[2]Ensaio 1'!$A$2:$E$28,5,FALSE)</f>
        <v>Control</v>
      </c>
      <c r="B715">
        <f>VLOOKUP(C715,'[2]Ensaio 1'!$A$2:$F$28,6,FALSE)</f>
        <v>3</v>
      </c>
      <c r="C715" s="36">
        <v>960000003827766</v>
      </c>
      <c r="D715" s="36">
        <v>960000003827766</v>
      </c>
      <c r="E715" s="1">
        <f t="shared" si="11"/>
        <v>44970</v>
      </c>
      <c r="F715" s="51">
        <v>44970.4543402778</v>
      </c>
      <c r="G715" s="51">
        <v>44970.458831018499</v>
      </c>
      <c r="H715" s="52">
        <v>2.835648148148E-3</v>
      </c>
      <c r="I715">
        <v>10.904166221618652</v>
      </c>
      <c r="J715">
        <v>8152.92040176925</v>
      </c>
      <c r="K715">
        <v>123.94628562866301</v>
      </c>
    </row>
    <row r="716" spans="1:11" x14ac:dyDescent="0.25">
      <c r="A716" t="str">
        <f>VLOOKUP(C716,'[2]Ensaio 1'!$A$2:$E$28,5,FALSE)</f>
        <v>Control</v>
      </c>
      <c r="B716">
        <f>VLOOKUP(C716,'[2]Ensaio 1'!$A$2:$F$28,6,FALSE)</f>
        <v>3</v>
      </c>
      <c r="C716" s="36">
        <v>960000003664778</v>
      </c>
      <c r="D716" s="36">
        <v>960000003664778</v>
      </c>
      <c r="E716" s="1">
        <f t="shared" si="11"/>
        <v>44970</v>
      </c>
      <c r="F716" s="51">
        <v>44970.4678472222</v>
      </c>
      <c r="G716" s="51">
        <v>44970.471770833297</v>
      </c>
      <c r="H716" s="52">
        <v>2.974537037037E-3</v>
      </c>
      <c r="I716">
        <v>11.228333473205566</v>
      </c>
      <c r="J716">
        <v>8146.1831661850301</v>
      </c>
      <c r="K716">
        <v>104.32612357776</v>
      </c>
    </row>
    <row r="717" spans="1:11" x14ac:dyDescent="0.25">
      <c r="A717" t="str">
        <f>VLOOKUP(C717,'[2]Ensaio 1'!$A$2:$E$28,5,FALSE)</f>
        <v>Control</v>
      </c>
      <c r="B717">
        <f>VLOOKUP(C717,'[2]Ensaio 1'!$A$2:$F$28,6,FALSE)</f>
        <v>3</v>
      </c>
      <c r="C717" s="36">
        <v>960000003608633</v>
      </c>
      <c r="D717" s="36">
        <v>960000003608633</v>
      </c>
      <c r="E717" s="1">
        <f t="shared" si="11"/>
        <v>44970</v>
      </c>
      <c r="F717" s="51">
        <v>44970.559178240699</v>
      </c>
      <c r="G717" s="51">
        <v>44970.562615740702</v>
      </c>
      <c r="H717" s="52">
        <v>3.1134259259259999E-3</v>
      </c>
      <c r="I717">
        <v>13.42027759552002</v>
      </c>
      <c r="J717">
        <v>10057.2163074775</v>
      </c>
      <c r="K717">
        <v>149.63742898424599</v>
      </c>
    </row>
    <row r="718" spans="1:11" x14ac:dyDescent="0.25">
      <c r="A718" t="str">
        <f>VLOOKUP(C718,'[2]Ensaio 1'!$A$2:$E$28,5,FALSE)</f>
        <v>Control</v>
      </c>
      <c r="B718">
        <f>VLOOKUP(C718,'[2]Ensaio 1'!$A$2:$F$28,6,FALSE)</f>
        <v>3</v>
      </c>
      <c r="C718" s="36">
        <v>960000003688522</v>
      </c>
      <c r="D718" s="36">
        <v>960000003688522</v>
      </c>
      <c r="E718" s="1">
        <f t="shared" si="11"/>
        <v>44970</v>
      </c>
      <c r="F718" s="51">
        <v>44970.563611111102</v>
      </c>
      <c r="G718" s="51">
        <v>44970.566666666702</v>
      </c>
      <c r="H718" s="52">
        <v>2.673611111111E-3</v>
      </c>
      <c r="I718">
        <v>13.526666641235352</v>
      </c>
      <c r="J718">
        <v>7576.4543976642299</v>
      </c>
      <c r="K718">
        <v>82.088108122005593</v>
      </c>
    </row>
    <row r="719" spans="1:11" x14ac:dyDescent="0.25">
      <c r="A719" t="str">
        <f>VLOOKUP(C719,'[2]Ensaio 1'!$A$2:$E$28,5,FALSE)</f>
        <v>Control</v>
      </c>
      <c r="B719">
        <f>VLOOKUP(C719,'[2]Ensaio 1'!$A$2:$F$28,6,FALSE)</f>
        <v>3</v>
      </c>
      <c r="C719" s="36">
        <v>900248002084626</v>
      </c>
      <c r="D719" s="36">
        <v>900248002084626</v>
      </c>
      <c r="E719" s="1">
        <f t="shared" si="11"/>
        <v>44970</v>
      </c>
      <c r="F719" s="51">
        <v>44970.6715625</v>
      </c>
      <c r="G719" s="51">
        <v>44970.675856481503</v>
      </c>
      <c r="H719" s="52">
        <v>4.074074074074E-3</v>
      </c>
      <c r="I719">
        <v>16.117500305175781</v>
      </c>
      <c r="J719">
        <v>9331.2095404619995</v>
      </c>
      <c r="K719">
        <v>167.12533101539401</v>
      </c>
    </row>
    <row r="720" spans="1:11" x14ac:dyDescent="0.25">
      <c r="A720" t="str">
        <f>VLOOKUP(C720,'[2]Ensaio 1'!$A$2:$E$28,5,FALSE)</f>
        <v>Control</v>
      </c>
      <c r="B720">
        <f>VLOOKUP(C720,'[2]Ensaio 1'!$A$2:$F$28,6,FALSE)</f>
        <v>3</v>
      </c>
      <c r="C720" s="36">
        <v>960000003827766</v>
      </c>
      <c r="D720" s="36">
        <v>960000003827766</v>
      </c>
      <c r="E720" s="1">
        <f t="shared" si="11"/>
        <v>44970</v>
      </c>
      <c r="F720" s="51">
        <v>44970.697905092602</v>
      </c>
      <c r="G720" s="51">
        <v>44970.7003819444</v>
      </c>
      <c r="H720" s="52">
        <v>2.3148148148149999E-3</v>
      </c>
      <c r="I720">
        <v>16.749721527099609</v>
      </c>
      <c r="J720">
        <v>10199.993807868201</v>
      </c>
      <c r="K720">
        <v>176.71116390446201</v>
      </c>
    </row>
    <row r="721" spans="1:11" x14ac:dyDescent="0.25">
      <c r="A721" t="str">
        <f>VLOOKUP(C721,'[2]Ensaio 1'!$A$2:$E$28,5,FALSE)</f>
        <v>Control</v>
      </c>
      <c r="B721">
        <f>VLOOKUP(C721,'[2]Ensaio 1'!$A$2:$F$28,6,FALSE)</f>
        <v>3</v>
      </c>
      <c r="C721" s="36">
        <v>960000003664778</v>
      </c>
      <c r="D721" s="36">
        <v>960000003664778</v>
      </c>
      <c r="E721" s="1">
        <f t="shared" si="11"/>
        <v>44970</v>
      </c>
      <c r="F721" s="51">
        <v>44970.706620370402</v>
      </c>
      <c r="G721" s="51">
        <v>44970.710115740701</v>
      </c>
      <c r="H721" s="52">
        <v>3.4375E-3</v>
      </c>
      <c r="I721">
        <v>16.958889007568359</v>
      </c>
      <c r="J721">
        <v>8167.8754494817103</v>
      </c>
      <c r="K721">
        <v>155.54440589854099</v>
      </c>
    </row>
    <row r="722" spans="1:11" x14ac:dyDescent="0.25">
      <c r="A722" t="str">
        <f>VLOOKUP(C722,'[2]Ensaio 1'!$A$2:$E$28,5,FALSE)</f>
        <v>Control</v>
      </c>
      <c r="B722">
        <f>VLOOKUP(C722,'[2]Ensaio 1'!$A$2:$F$28,6,FALSE)</f>
        <v>4</v>
      </c>
      <c r="C722" s="36">
        <v>960000003599578</v>
      </c>
      <c r="D722" s="36">
        <v>960000003599578</v>
      </c>
      <c r="E722" s="1">
        <f t="shared" si="11"/>
        <v>44970</v>
      </c>
      <c r="F722" s="51">
        <v>44970.743379629603</v>
      </c>
      <c r="G722" s="51">
        <v>44970.749039351896</v>
      </c>
      <c r="H722" s="52">
        <v>2.534722222222E-3</v>
      </c>
      <c r="I722">
        <v>17.841110229492188</v>
      </c>
      <c r="J722">
        <v>11986.416668579801</v>
      </c>
      <c r="K722">
        <v>176.32315961846399</v>
      </c>
    </row>
    <row r="723" spans="1:11" x14ac:dyDescent="0.25">
      <c r="A723" t="str">
        <f>VLOOKUP(C723,'[2]Ensaio 1'!$A$2:$E$28,5,FALSE)</f>
        <v>Control</v>
      </c>
      <c r="B723">
        <f>VLOOKUP(C723,'[2]Ensaio 1'!$A$2:$F$28,6,FALSE)</f>
        <v>4</v>
      </c>
      <c r="C723" s="36">
        <v>960000003516091</v>
      </c>
      <c r="D723" s="36">
        <v>960000003516091</v>
      </c>
      <c r="E723" s="1">
        <f t="shared" si="11"/>
        <v>44970</v>
      </c>
      <c r="F723" s="51">
        <v>44970.751238425903</v>
      </c>
      <c r="G723" s="51">
        <v>44970.754236111097</v>
      </c>
      <c r="H723" s="52">
        <v>2.974537037037E-3</v>
      </c>
      <c r="I723">
        <v>18.029722213745117</v>
      </c>
      <c r="J723">
        <v>10000.4784095918</v>
      </c>
      <c r="K723">
        <v>135.35578878061</v>
      </c>
    </row>
    <row r="724" spans="1:11" x14ac:dyDescent="0.25">
      <c r="A724" t="str">
        <f>VLOOKUP(C724,'[2]Ensaio 1'!$A$2:$E$28,5,FALSE)</f>
        <v>Control</v>
      </c>
      <c r="B724">
        <f>VLOOKUP(C724,'[2]Ensaio 1'!$A$2:$F$28,6,FALSE)</f>
        <v>4</v>
      </c>
      <c r="C724" s="36">
        <v>960000003688521</v>
      </c>
      <c r="D724" s="36">
        <v>960000003688521</v>
      </c>
      <c r="E724" s="1">
        <f t="shared" si="11"/>
        <v>44970</v>
      </c>
      <c r="F724" s="51">
        <v>44970.784895833298</v>
      </c>
      <c r="G724" s="51">
        <v>44970.787708333301</v>
      </c>
      <c r="H724" s="52">
        <v>2.0138888888889999E-3</v>
      </c>
      <c r="I724">
        <v>18.837499618530273</v>
      </c>
      <c r="J724">
        <v>8766.5394420590492</v>
      </c>
      <c r="K724">
        <v>89.219624564861704</v>
      </c>
    </row>
    <row r="725" spans="1:11" x14ac:dyDescent="0.25">
      <c r="A725" t="str">
        <f>VLOOKUP(C725,'[2]Ensaio 1'!$A$2:$E$28,5,FALSE)</f>
        <v>Control</v>
      </c>
      <c r="B725">
        <f>VLOOKUP(C725,'[2]Ensaio 1'!$A$2:$F$28,6,FALSE)</f>
        <v>4</v>
      </c>
      <c r="C725" s="36">
        <v>960000003688521</v>
      </c>
      <c r="D725" s="36">
        <v>960000003688521</v>
      </c>
      <c r="E725" s="1">
        <f t="shared" si="11"/>
        <v>44970</v>
      </c>
      <c r="F725" s="51">
        <v>44970.856203703697</v>
      </c>
      <c r="G725" s="51">
        <v>44970.864189814798</v>
      </c>
      <c r="H725" s="52">
        <v>2.0254629629630001E-3</v>
      </c>
      <c r="I725">
        <v>20.54888916015625</v>
      </c>
      <c r="J725">
        <v>9854.5637346724907</v>
      </c>
      <c r="K725">
        <v>280.26266352360102</v>
      </c>
    </row>
    <row r="726" spans="1:11" x14ac:dyDescent="0.25">
      <c r="A726" t="str">
        <f>VLOOKUP(C726,'[2]Ensaio 1'!$A$2:$E$28,5,FALSE)</f>
        <v>Control</v>
      </c>
      <c r="B726">
        <f>VLOOKUP(C726,'[2]Ensaio 1'!$A$2:$F$28,6,FALSE)</f>
        <v>4</v>
      </c>
      <c r="C726" s="36">
        <v>960000003687554</v>
      </c>
      <c r="D726" s="36">
        <v>960000003687554</v>
      </c>
      <c r="E726" s="1">
        <f t="shared" si="11"/>
        <v>44970</v>
      </c>
      <c r="F726" s="51">
        <v>44970.983136574097</v>
      </c>
      <c r="G726" s="51">
        <v>44970.986898148098</v>
      </c>
      <c r="H726" s="52">
        <v>3.668981481481E-3</v>
      </c>
      <c r="I726">
        <v>23.595277786254883</v>
      </c>
      <c r="J726">
        <v>9958.3894635505603</v>
      </c>
      <c r="K726">
        <v>64.802325298433203</v>
      </c>
    </row>
    <row r="727" spans="1:11" x14ac:dyDescent="0.25">
      <c r="A727" t="str">
        <f>VLOOKUP(C727,'[2]Ensaio 1'!$A$2:$E$28,5,FALSE)</f>
        <v>Control</v>
      </c>
      <c r="B727">
        <f>VLOOKUP(C727,'[2]Ensaio 1'!$A$2:$F$28,6,FALSE)</f>
        <v>4</v>
      </c>
      <c r="C727" s="36">
        <v>960000003599578</v>
      </c>
      <c r="D727" s="36">
        <v>960000003599578</v>
      </c>
      <c r="E727" s="1">
        <f t="shared" si="11"/>
        <v>44970</v>
      </c>
      <c r="F727" s="51">
        <v>44970.990902777798</v>
      </c>
      <c r="G727" s="51">
        <v>44970.998541666697</v>
      </c>
      <c r="H727" s="52">
        <v>5.5787037037040004E-3</v>
      </c>
      <c r="I727">
        <v>23.781665802001953</v>
      </c>
      <c r="J727">
        <v>8607.1346842180992</v>
      </c>
      <c r="K727">
        <v>98.900356296357899</v>
      </c>
    </row>
    <row r="728" spans="1:11" x14ac:dyDescent="0.25">
      <c r="A728" t="str">
        <f>VLOOKUP(C728,'[2]Ensaio 1'!$A$2:$E$28,5,FALSE)</f>
        <v>Control</v>
      </c>
      <c r="B728">
        <f>VLOOKUP(C728,'[2]Ensaio 1'!$A$2:$F$28,6,FALSE)</f>
        <v>4</v>
      </c>
      <c r="C728" s="36">
        <v>960000003516091</v>
      </c>
      <c r="D728" s="36">
        <v>960000003516091</v>
      </c>
      <c r="E728" s="1">
        <f t="shared" si="11"/>
        <v>44971</v>
      </c>
      <c r="F728" s="51">
        <v>44971.000462962998</v>
      </c>
      <c r="G728" s="51">
        <v>44971.0050694444</v>
      </c>
      <c r="H728" s="52">
        <v>4.4212962962959998E-3</v>
      </c>
      <c r="I728">
        <v>1.1111111380160001E-2</v>
      </c>
      <c r="J728">
        <v>7744.1349439117603</v>
      </c>
      <c r="K728">
        <v>80.4496433937136</v>
      </c>
    </row>
    <row r="729" spans="1:11" x14ac:dyDescent="0.25">
      <c r="A729" t="str">
        <f>VLOOKUP(C729,'[2]Ensaio 1'!$A$2:$E$28,5,FALSE)</f>
        <v>Control</v>
      </c>
      <c r="B729">
        <f>VLOOKUP(C729,'[2]Ensaio 1'!$A$2:$F$28,6,FALSE)</f>
        <v>4</v>
      </c>
      <c r="C729" s="36">
        <v>960000003599578</v>
      </c>
      <c r="D729" s="36">
        <v>960000003599578</v>
      </c>
      <c r="E729" s="1">
        <f t="shared" si="11"/>
        <v>44971</v>
      </c>
      <c r="F729" s="51">
        <v>44971.015115740702</v>
      </c>
      <c r="G729" s="51">
        <v>44971.019976851901</v>
      </c>
      <c r="H729" s="52">
        <v>4.7569444444439998E-3</v>
      </c>
      <c r="I729">
        <v>0.362777769565582</v>
      </c>
      <c r="J729">
        <v>11848.592674003099</v>
      </c>
      <c r="K729">
        <v>243.14122255345401</v>
      </c>
    </row>
    <row r="730" spans="1:11" x14ac:dyDescent="0.25">
      <c r="A730" t="str">
        <f>VLOOKUP(C730,'[2]Ensaio 1'!$A$2:$E$28,5,FALSE)</f>
        <v>Control</v>
      </c>
      <c r="B730">
        <f>VLOOKUP(C730,'[2]Ensaio 1'!$A$2:$F$28,6,FALSE)</f>
        <v>4</v>
      </c>
      <c r="C730" s="36">
        <v>960000003687554</v>
      </c>
      <c r="D730" s="36">
        <v>960000003687554</v>
      </c>
      <c r="E730" s="1">
        <f t="shared" si="11"/>
        <v>44971</v>
      </c>
      <c r="F730" s="51">
        <v>44971.143854166701</v>
      </c>
      <c r="G730" s="51">
        <v>44971.147569444402</v>
      </c>
      <c r="H730" s="52">
        <v>3.6111111111109999E-3</v>
      </c>
      <c r="I730">
        <v>3.4525001049041748</v>
      </c>
      <c r="J730">
        <v>10578.4571027535</v>
      </c>
      <c r="K730">
        <v>99.093919301765098</v>
      </c>
    </row>
    <row r="731" spans="1:11" x14ac:dyDescent="0.25">
      <c r="A731" t="str">
        <f>VLOOKUP(C731,'[2]Ensaio 1'!$A$2:$E$28,5,FALSE)</f>
        <v>Control</v>
      </c>
      <c r="B731">
        <f>VLOOKUP(C731,'[2]Ensaio 1'!$A$2:$F$28,6,FALSE)</f>
        <v>4</v>
      </c>
      <c r="C731" s="36">
        <v>960000003599578</v>
      </c>
      <c r="D731" s="36">
        <v>960000003599578</v>
      </c>
      <c r="E731" s="1">
        <f t="shared" si="11"/>
        <v>44971</v>
      </c>
      <c r="F731" s="51">
        <v>44971.303703703699</v>
      </c>
      <c r="G731" s="51">
        <v>44971.307037036997</v>
      </c>
      <c r="H731" s="52">
        <v>3.1481481481479999E-3</v>
      </c>
      <c r="I731">
        <v>7.2888889312744141</v>
      </c>
      <c r="J731">
        <v>10228.7725641955</v>
      </c>
      <c r="K731">
        <v>106.388786804101</v>
      </c>
    </row>
    <row r="732" spans="1:11" x14ac:dyDescent="0.25">
      <c r="A732" t="str">
        <f>VLOOKUP(C732,'[2]Ensaio 1'!$A$2:$E$28,5,FALSE)</f>
        <v>Control</v>
      </c>
      <c r="B732">
        <f>VLOOKUP(C732,'[2]Ensaio 1'!$A$2:$F$28,6,FALSE)</f>
        <v>4</v>
      </c>
      <c r="C732" s="36">
        <v>960000003516091</v>
      </c>
      <c r="D732" s="36">
        <v>960000003516091</v>
      </c>
      <c r="E732" s="1">
        <f t="shared" si="11"/>
        <v>44971</v>
      </c>
      <c r="F732" s="51">
        <v>44971.316018518497</v>
      </c>
      <c r="G732" s="51">
        <v>44971.321828703702</v>
      </c>
      <c r="H732" s="52">
        <v>4.5717592592589996E-3</v>
      </c>
      <c r="I732">
        <v>7.584444522857666</v>
      </c>
      <c r="J732">
        <v>7470.1166421571897</v>
      </c>
      <c r="K732">
        <v>100.937289739242</v>
      </c>
    </row>
    <row r="733" spans="1:11" x14ac:dyDescent="0.25">
      <c r="A733" t="str">
        <f>VLOOKUP(C733,'[2]Ensaio 1'!$A$2:$E$28,5,FALSE)</f>
        <v>Control</v>
      </c>
      <c r="B733">
        <f>VLOOKUP(C733,'[2]Ensaio 1'!$A$2:$F$28,6,FALSE)</f>
        <v>4</v>
      </c>
      <c r="C733" s="36">
        <v>960000003688521</v>
      </c>
      <c r="D733" s="36">
        <v>960000003688521</v>
      </c>
      <c r="E733" s="1">
        <f t="shared" si="11"/>
        <v>44971</v>
      </c>
      <c r="F733" s="51">
        <v>44971.370578703703</v>
      </c>
      <c r="G733" s="51">
        <v>44971.375682870399</v>
      </c>
      <c r="H733" s="52">
        <v>3.703703703704E-3</v>
      </c>
      <c r="I733">
        <v>8.8938884735107422</v>
      </c>
      <c r="J733">
        <v>7461.7013098809102</v>
      </c>
      <c r="K733">
        <v>64.589909748499693</v>
      </c>
    </row>
    <row r="734" spans="1:11" x14ac:dyDescent="0.25">
      <c r="A734" t="str">
        <f>VLOOKUP(C734,'[2]Ensaio 1'!$A$2:$E$28,5,FALSE)</f>
        <v>Control</v>
      </c>
      <c r="B734">
        <f>VLOOKUP(C734,'[2]Ensaio 1'!$A$2:$F$28,6,FALSE)</f>
        <v>4</v>
      </c>
      <c r="C734" s="36">
        <v>960000003687554</v>
      </c>
      <c r="D734" s="36">
        <v>960000003687554</v>
      </c>
      <c r="E734" s="1">
        <f t="shared" si="11"/>
        <v>44971</v>
      </c>
      <c r="F734" s="51">
        <v>44971.3981712963</v>
      </c>
      <c r="G734" s="51">
        <v>44971.401261574101</v>
      </c>
      <c r="H734" s="52">
        <v>3.0555555555559998E-3</v>
      </c>
      <c r="I734">
        <v>9.5561113357543945</v>
      </c>
      <c r="J734">
        <v>9815.47480942937</v>
      </c>
      <c r="K734">
        <v>102.629490870628</v>
      </c>
    </row>
    <row r="735" spans="1:11" x14ac:dyDescent="0.25">
      <c r="A735" t="str">
        <f>VLOOKUP(C735,'[2]Ensaio 1'!$A$2:$E$28,5,FALSE)</f>
        <v>Control</v>
      </c>
      <c r="B735">
        <f>VLOOKUP(C735,'[2]Ensaio 1'!$A$2:$F$28,6,FALSE)</f>
        <v>4</v>
      </c>
      <c r="C735" s="36">
        <v>960000003688521</v>
      </c>
      <c r="D735" s="36">
        <v>960000003688521</v>
      </c>
      <c r="E735" s="1">
        <f t="shared" si="11"/>
        <v>44971</v>
      </c>
      <c r="F735" s="51">
        <v>44971.402847222198</v>
      </c>
      <c r="G735" s="51">
        <v>44971.407812500001</v>
      </c>
      <c r="H735" s="52">
        <v>1.6087962962959999E-3</v>
      </c>
      <c r="I735">
        <v>9.6683330535888672</v>
      </c>
      <c r="J735">
        <v>9058.7130524423392</v>
      </c>
      <c r="K735">
        <v>103.149082567596</v>
      </c>
    </row>
    <row r="736" spans="1:11" x14ac:dyDescent="0.25">
      <c r="A736" t="str">
        <f>VLOOKUP(C736,'[2]Ensaio 1'!$A$2:$E$28,5,FALSE)</f>
        <v>Control</v>
      </c>
      <c r="B736">
        <f>VLOOKUP(C736,'[2]Ensaio 1'!$A$2:$F$28,6,FALSE)</f>
        <v>4</v>
      </c>
      <c r="C736" s="36">
        <v>960000003599578</v>
      </c>
      <c r="D736" s="36">
        <v>960000003599578</v>
      </c>
      <c r="E736" s="1">
        <f t="shared" si="11"/>
        <v>44971</v>
      </c>
      <c r="F736" s="51">
        <v>44971.424351851798</v>
      </c>
      <c r="G736" s="51">
        <v>44971.425798611097</v>
      </c>
      <c r="H736" s="52">
        <v>1.435185185185E-3</v>
      </c>
      <c r="I736">
        <v>10.184444427490234</v>
      </c>
      <c r="J736">
        <v>9213.8980902425501</v>
      </c>
      <c r="K736">
        <v>144.27738349262799</v>
      </c>
    </row>
    <row r="737" spans="1:11" x14ac:dyDescent="0.25">
      <c r="A737" t="str">
        <f>VLOOKUP(C737,'[2]Ensaio 1'!$A$2:$E$28,5,FALSE)</f>
        <v>Control</v>
      </c>
      <c r="B737">
        <f>VLOOKUP(C737,'[2]Ensaio 1'!$A$2:$F$28,6,FALSE)</f>
        <v>4</v>
      </c>
      <c r="C737" s="36">
        <v>960000003599578</v>
      </c>
      <c r="D737" s="36">
        <v>960000003599578</v>
      </c>
      <c r="E737" s="1">
        <f t="shared" si="11"/>
        <v>44971</v>
      </c>
      <c r="F737" s="51">
        <v>44971.521226851903</v>
      </c>
      <c r="G737" s="51">
        <v>44971.524710648097</v>
      </c>
      <c r="H737" s="52">
        <v>3.3796296296299999E-3</v>
      </c>
      <c r="I737">
        <v>12.509444236755371</v>
      </c>
      <c r="J737">
        <v>8399.5027170812791</v>
      </c>
      <c r="K737">
        <v>82.908938048504297</v>
      </c>
    </row>
    <row r="738" spans="1:11" x14ac:dyDescent="0.25">
      <c r="A738" t="str">
        <f>VLOOKUP(C738,'[2]Ensaio 1'!$A$2:$E$28,5,FALSE)</f>
        <v>Control</v>
      </c>
      <c r="B738">
        <f>VLOOKUP(C738,'[2]Ensaio 1'!$A$2:$F$28,6,FALSE)</f>
        <v>4</v>
      </c>
      <c r="C738" s="36">
        <v>960000003688521</v>
      </c>
      <c r="D738" s="36">
        <v>960000003688521</v>
      </c>
      <c r="E738" s="1">
        <f t="shared" si="11"/>
        <v>44971</v>
      </c>
      <c r="F738" s="51">
        <v>44971.600474537001</v>
      </c>
      <c r="G738" s="51">
        <v>44971.605775463002</v>
      </c>
      <c r="H738" s="52">
        <v>3.4606481481480001E-3</v>
      </c>
      <c r="I738">
        <v>14.411389350891113</v>
      </c>
      <c r="J738">
        <v>6412.5352482063399</v>
      </c>
      <c r="K738">
        <v>57.228088825150301</v>
      </c>
    </row>
    <row r="739" spans="1:11" x14ac:dyDescent="0.25">
      <c r="A739" t="str">
        <f>VLOOKUP(C739,'[2]Ensaio 1'!$A$2:$E$28,5,FALSE)</f>
        <v>Control</v>
      </c>
      <c r="B739">
        <f>VLOOKUP(C739,'[2]Ensaio 1'!$A$2:$F$28,6,FALSE)</f>
        <v>4</v>
      </c>
      <c r="C739" s="36">
        <v>960000003516091</v>
      </c>
      <c r="D739" s="36">
        <v>960000003516091</v>
      </c>
      <c r="E739" s="1">
        <f t="shared" si="11"/>
        <v>44971</v>
      </c>
      <c r="F739" s="51">
        <v>44971.617754629602</v>
      </c>
      <c r="G739" s="51">
        <v>44971.621296296304</v>
      </c>
      <c r="H739" s="52">
        <v>3.0439814814809999E-3</v>
      </c>
      <c r="I739">
        <v>14.82611083984375</v>
      </c>
      <c r="J739">
        <v>7161.8929647837303</v>
      </c>
      <c r="K739">
        <v>109.431256536346</v>
      </c>
    </row>
    <row r="740" spans="1:11" x14ac:dyDescent="0.25">
      <c r="A740" t="str">
        <f>VLOOKUP(C740,'[2]Ensaio 1'!$A$2:$E$28,5,FALSE)</f>
        <v>Control</v>
      </c>
      <c r="B740">
        <f>VLOOKUP(C740,'[2]Ensaio 1'!$A$2:$F$28,6,FALSE)</f>
        <v>4</v>
      </c>
      <c r="C740" s="36">
        <v>960000003687554</v>
      </c>
      <c r="D740" s="36">
        <v>960000003687554</v>
      </c>
      <c r="E740" s="1">
        <f t="shared" si="11"/>
        <v>44971</v>
      </c>
      <c r="F740" s="51">
        <v>44971.625740740703</v>
      </c>
      <c r="G740" s="51">
        <v>44971.629803240699</v>
      </c>
      <c r="H740" s="52">
        <v>3.541666666667E-3</v>
      </c>
      <c r="I740">
        <v>15.017777442932129</v>
      </c>
      <c r="J740">
        <v>9650.2088020198498</v>
      </c>
      <c r="K740">
        <v>135.734422081025</v>
      </c>
    </row>
    <row r="741" spans="1:11" x14ac:dyDescent="0.25">
      <c r="A741" t="str">
        <f>VLOOKUP(C741,'[2]Ensaio 1'!$A$2:$E$28,5,FALSE)</f>
        <v>Control</v>
      </c>
      <c r="B741">
        <f>VLOOKUP(C741,'[2]Ensaio 1'!$A$2:$F$28,6,FALSE)</f>
        <v>4</v>
      </c>
      <c r="C741" s="36">
        <v>960000003599578</v>
      </c>
      <c r="D741" s="36">
        <v>960000003599578</v>
      </c>
      <c r="E741" s="1">
        <f t="shared" si="11"/>
        <v>44971</v>
      </c>
      <c r="F741" s="51">
        <v>44971.732928240701</v>
      </c>
      <c r="G741" s="51">
        <v>44971.736238425903</v>
      </c>
      <c r="H741" s="52">
        <v>3.2638888888890001E-3</v>
      </c>
      <c r="I741">
        <v>17.590278625488281</v>
      </c>
      <c r="J741">
        <v>10423.9059366524</v>
      </c>
      <c r="K741">
        <v>242.03453416026099</v>
      </c>
    </row>
    <row r="742" spans="1:11" x14ac:dyDescent="0.25">
      <c r="A742" t="str">
        <f>VLOOKUP(C742,'[2]Ensaio 1'!$A$2:$E$28,5,FALSE)</f>
        <v>Control</v>
      </c>
      <c r="B742">
        <f>VLOOKUP(C742,'[2]Ensaio 1'!$A$2:$F$28,6,FALSE)</f>
        <v>4</v>
      </c>
      <c r="C742" s="36">
        <v>960000003687554</v>
      </c>
      <c r="D742" s="36">
        <v>960000003687554</v>
      </c>
      <c r="E742" s="1">
        <f t="shared" si="11"/>
        <v>44971</v>
      </c>
      <c r="F742" s="51">
        <v>44971.870289351798</v>
      </c>
      <c r="G742" s="51">
        <v>44971.873749999999</v>
      </c>
      <c r="H742" s="52">
        <v>3.402777777778E-3</v>
      </c>
      <c r="I742">
        <v>20.886943817138672</v>
      </c>
      <c r="J742">
        <v>10487.0067246977</v>
      </c>
      <c r="K742">
        <v>100.950565905619</v>
      </c>
    </row>
    <row r="743" spans="1:11" x14ac:dyDescent="0.25">
      <c r="A743" t="str">
        <f>VLOOKUP(C743,'[2]Ensaio 1'!$A$2:$E$28,5,FALSE)</f>
        <v>Control</v>
      </c>
      <c r="B743">
        <f>VLOOKUP(C743,'[2]Ensaio 1'!$A$2:$F$28,6,FALSE)</f>
        <v>4</v>
      </c>
      <c r="C743" s="36">
        <v>960000003688521</v>
      </c>
      <c r="D743" s="36">
        <v>960000003688521</v>
      </c>
      <c r="E743" s="1">
        <f t="shared" si="11"/>
        <v>44971</v>
      </c>
      <c r="F743" s="51">
        <v>44971.932094907403</v>
      </c>
      <c r="G743" s="51">
        <v>44971.936527777798</v>
      </c>
      <c r="H743" s="52">
        <v>3.738425925926E-3</v>
      </c>
      <c r="I743">
        <v>22.370277404785156</v>
      </c>
      <c r="J743">
        <v>9794.8632806449205</v>
      </c>
      <c r="K743">
        <v>177.63644119621401</v>
      </c>
    </row>
    <row r="744" spans="1:11" x14ac:dyDescent="0.25">
      <c r="A744" t="str">
        <f>VLOOKUP(C744,'[2]Ensaio 1'!$A$2:$E$28,5,FALSE)</f>
        <v>Control</v>
      </c>
      <c r="B744">
        <f>VLOOKUP(C744,'[2]Ensaio 1'!$A$2:$F$28,6,FALSE)</f>
        <v>4</v>
      </c>
      <c r="C744" s="36">
        <v>960000003599578</v>
      </c>
      <c r="D744" s="36">
        <v>960000003599578</v>
      </c>
      <c r="E744" s="1">
        <f t="shared" si="11"/>
        <v>44971</v>
      </c>
      <c r="F744" s="51">
        <v>44971.968645833302</v>
      </c>
      <c r="G744" s="51">
        <v>44971.971875000003</v>
      </c>
      <c r="H744" s="52">
        <v>3.1828703703699998E-3</v>
      </c>
      <c r="I744">
        <v>23.247499465942383</v>
      </c>
      <c r="J744">
        <v>11820.622855875499</v>
      </c>
      <c r="K744">
        <v>210.662346304816</v>
      </c>
    </row>
    <row r="745" spans="1:11" x14ac:dyDescent="0.25">
      <c r="A745" t="str">
        <f>VLOOKUP(C745,'[2]Ensaio 1'!$A$2:$E$28,5,FALSE)</f>
        <v>Control</v>
      </c>
      <c r="B745">
        <f>VLOOKUP(C745,'[2]Ensaio 1'!$A$2:$F$28,6,FALSE)</f>
        <v>4</v>
      </c>
      <c r="C745" s="36">
        <v>960000003516091</v>
      </c>
      <c r="D745" s="36">
        <v>960000003516091</v>
      </c>
      <c r="E745" s="1">
        <f t="shared" si="11"/>
        <v>44971</v>
      </c>
      <c r="F745" s="51">
        <v>44971.975462962997</v>
      </c>
      <c r="G745" s="51">
        <v>44971.981168981503</v>
      </c>
      <c r="H745" s="52">
        <v>4.4560185185190003E-3</v>
      </c>
      <c r="I745">
        <v>23.411111831665039</v>
      </c>
      <c r="J745">
        <v>6998.8796980417601</v>
      </c>
      <c r="K745">
        <v>85.638677098057698</v>
      </c>
    </row>
    <row r="746" spans="1:11" x14ac:dyDescent="0.25">
      <c r="A746" t="str">
        <f>VLOOKUP(C746,'[2]Ensaio 1'!$A$2:$E$28,5,FALSE)</f>
        <v>Control</v>
      </c>
      <c r="B746">
        <f>VLOOKUP(C746,'[2]Ensaio 1'!$A$2:$F$28,6,FALSE)</f>
        <v>4</v>
      </c>
      <c r="C746" s="36">
        <v>960000003599578</v>
      </c>
      <c r="D746" s="36">
        <v>960000003599578</v>
      </c>
      <c r="E746" s="1">
        <f t="shared" si="11"/>
        <v>44971</v>
      </c>
      <c r="F746" s="51">
        <v>44971.984722222202</v>
      </c>
      <c r="G746" s="51">
        <v>44971.986168981501</v>
      </c>
      <c r="H746" s="52">
        <v>1.435185185185E-3</v>
      </c>
      <c r="I746">
        <v>23.633333206176758</v>
      </c>
      <c r="J746">
        <v>9476.2865585664895</v>
      </c>
      <c r="K746">
        <v>159.813881690545</v>
      </c>
    </row>
    <row r="747" spans="1:11" x14ac:dyDescent="0.25">
      <c r="A747" t="str">
        <f>VLOOKUP(C747,'[2]Ensaio 1'!$A$2:$E$28,5,FALSE)</f>
        <v>Control</v>
      </c>
      <c r="B747">
        <f>VLOOKUP(C747,'[2]Ensaio 1'!$A$2:$F$28,6,FALSE)</f>
        <v>4</v>
      </c>
      <c r="C747" s="36">
        <v>960000003687554</v>
      </c>
      <c r="D747" s="36">
        <v>960000003687554</v>
      </c>
      <c r="E747" s="1">
        <f t="shared" si="11"/>
        <v>44972</v>
      </c>
      <c r="F747" s="51">
        <v>44972.144641203697</v>
      </c>
      <c r="G747" s="51">
        <v>44972.1489814815</v>
      </c>
      <c r="H747" s="52">
        <v>3.9236111111110002E-3</v>
      </c>
      <c r="I747">
        <v>3.4713888168334961</v>
      </c>
      <c r="J747">
        <v>9200.0018314776607</v>
      </c>
      <c r="K747">
        <v>70.733473381238696</v>
      </c>
    </row>
    <row r="748" spans="1:11" x14ac:dyDescent="0.25">
      <c r="A748" t="str">
        <f>VLOOKUP(C748,'[2]Ensaio 1'!$A$2:$E$28,5,FALSE)</f>
        <v>Control</v>
      </c>
      <c r="B748">
        <f>VLOOKUP(C748,'[2]Ensaio 1'!$A$2:$F$28,6,FALSE)</f>
        <v>4</v>
      </c>
      <c r="C748" s="36">
        <v>960000003516091</v>
      </c>
      <c r="D748" s="36">
        <v>960000003516091</v>
      </c>
      <c r="E748" s="1">
        <f t="shared" si="11"/>
        <v>44972</v>
      </c>
      <c r="F748" s="51">
        <v>44972.178993055597</v>
      </c>
      <c r="G748" s="51">
        <v>44972.184374999997</v>
      </c>
      <c r="H748" s="52">
        <v>4.479166666667E-3</v>
      </c>
      <c r="I748">
        <v>4.2958331108093262</v>
      </c>
      <c r="J748">
        <v>7274.2150551102004</v>
      </c>
      <c r="K748">
        <v>121.867805046106</v>
      </c>
    </row>
    <row r="749" spans="1:11" x14ac:dyDescent="0.25">
      <c r="A749" t="str">
        <f>VLOOKUP(C749,'[2]Ensaio 1'!$A$2:$E$28,5,FALSE)</f>
        <v>Control</v>
      </c>
      <c r="B749">
        <f>VLOOKUP(C749,'[2]Ensaio 1'!$A$2:$F$28,6,FALSE)</f>
        <v>4</v>
      </c>
      <c r="C749" s="36">
        <v>960000003688521</v>
      </c>
      <c r="D749" s="36">
        <v>960000003688521</v>
      </c>
      <c r="E749" s="1">
        <f t="shared" si="11"/>
        <v>44972</v>
      </c>
      <c r="F749" s="51">
        <v>44972.294571759303</v>
      </c>
      <c r="G749" s="51">
        <v>44972.2976851852</v>
      </c>
      <c r="H749" s="52">
        <v>2.3148148148149999E-3</v>
      </c>
      <c r="I749">
        <v>7.0697221755981454</v>
      </c>
      <c r="J749">
        <v>9467.3528180837493</v>
      </c>
      <c r="K749">
        <v>14.8134702589954</v>
      </c>
    </row>
    <row r="750" spans="1:11" x14ac:dyDescent="0.25">
      <c r="A750" t="str">
        <f>VLOOKUP(C750,'[2]Ensaio 1'!$A$2:$E$28,5,FALSE)</f>
        <v>Control</v>
      </c>
      <c r="B750">
        <f>VLOOKUP(C750,'[2]Ensaio 1'!$A$2:$F$28,6,FALSE)</f>
        <v>4</v>
      </c>
      <c r="C750" s="36">
        <v>960000003599578</v>
      </c>
      <c r="D750" s="36">
        <v>960000003599578</v>
      </c>
      <c r="E750" s="1">
        <f t="shared" si="11"/>
        <v>44972</v>
      </c>
      <c r="F750" s="51">
        <v>44972.384224537003</v>
      </c>
      <c r="G750" s="51">
        <v>44972.387870370403</v>
      </c>
      <c r="H750" s="52">
        <v>3.5532407407409998E-3</v>
      </c>
      <c r="I750">
        <v>9.2213888168334961</v>
      </c>
      <c r="J750">
        <v>9438.1540181632208</v>
      </c>
      <c r="K750">
        <v>119.255711169801</v>
      </c>
    </row>
    <row r="751" spans="1:11" x14ac:dyDescent="0.25">
      <c r="A751" t="str">
        <f>VLOOKUP(C751,'[2]Ensaio 1'!$A$2:$E$28,5,FALSE)</f>
        <v>Control</v>
      </c>
      <c r="B751">
        <f>VLOOKUP(C751,'[2]Ensaio 1'!$A$2:$F$28,6,FALSE)</f>
        <v>4</v>
      </c>
      <c r="C751" s="36">
        <v>960000003687554</v>
      </c>
      <c r="D751" s="36">
        <v>960000003687554</v>
      </c>
      <c r="E751" s="1">
        <f t="shared" si="11"/>
        <v>44972</v>
      </c>
      <c r="F751" s="51">
        <v>44972.389374999999</v>
      </c>
      <c r="G751" s="51">
        <v>44972.392175925903</v>
      </c>
      <c r="H751" s="52">
        <v>2.7662037037040001E-3</v>
      </c>
      <c r="I751">
        <v>9.3450002670288086</v>
      </c>
      <c r="J751">
        <v>11545.557592990401</v>
      </c>
      <c r="K751">
        <v>160.985674717564</v>
      </c>
    </row>
    <row r="752" spans="1:11" x14ac:dyDescent="0.25">
      <c r="A752" t="str">
        <f>VLOOKUP(C752,'[2]Ensaio 1'!$A$2:$E$28,5,FALSE)</f>
        <v>Control</v>
      </c>
      <c r="B752">
        <f>VLOOKUP(C752,'[2]Ensaio 1'!$A$2:$F$28,6,FALSE)</f>
        <v>4</v>
      </c>
      <c r="C752" s="36">
        <v>960000003516091</v>
      </c>
      <c r="D752" s="36">
        <v>960000003516091</v>
      </c>
      <c r="E752" s="1">
        <f t="shared" si="11"/>
        <v>44972</v>
      </c>
      <c r="F752" s="51">
        <v>44972.413402777798</v>
      </c>
      <c r="G752" s="51">
        <v>44972.416458333297</v>
      </c>
      <c r="H752" s="52">
        <v>2.2453703703699999E-3</v>
      </c>
      <c r="I752">
        <v>9.9216670989990234</v>
      </c>
      <c r="J752">
        <v>7744.6843994679903</v>
      </c>
      <c r="K752">
        <v>124.153848029754</v>
      </c>
    </row>
    <row r="753" spans="1:11" x14ac:dyDescent="0.25">
      <c r="A753" t="str">
        <f>VLOOKUP(C753,'[2]Ensaio 1'!$A$2:$E$28,5,FALSE)</f>
        <v>Control</v>
      </c>
      <c r="B753">
        <f>VLOOKUP(C753,'[2]Ensaio 1'!$A$2:$F$28,6,FALSE)</f>
        <v>4</v>
      </c>
      <c r="C753" s="36">
        <v>960000003516091</v>
      </c>
      <c r="D753" s="36">
        <v>960000003516091</v>
      </c>
      <c r="E753" s="1">
        <f t="shared" si="11"/>
        <v>44972</v>
      </c>
      <c r="F753" s="51">
        <v>44972.470902777801</v>
      </c>
      <c r="G753" s="51">
        <v>44972.473796296297</v>
      </c>
      <c r="H753" s="52">
        <v>1.585648148148E-3</v>
      </c>
      <c r="I753">
        <v>11.301666259765625</v>
      </c>
      <c r="J753">
        <v>6795.0763348983901</v>
      </c>
      <c r="K753">
        <v>95.656439155742504</v>
      </c>
    </row>
    <row r="754" spans="1:11" x14ac:dyDescent="0.25">
      <c r="A754" t="str">
        <f>VLOOKUP(C754,'[2]Ensaio 1'!$A$2:$E$28,5,FALSE)</f>
        <v>Control</v>
      </c>
      <c r="B754">
        <f>VLOOKUP(C754,'[2]Ensaio 1'!$A$2:$F$28,6,FALSE)</f>
        <v>4</v>
      </c>
      <c r="C754" s="36">
        <v>960000003688521</v>
      </c>
      <c r="D754" s="36">
        <v>960000003688521</v>
      </c>
      <c r="E754" s="1">
        <f t="shared" si="11"/>
        <v>44972</v>
      </c>
      <c r="F754" s="51">
        <v>44972.532048611101</v>
      </c>
      <c r="G754" s="51">
        <v>44972.534953703696</v>
      </c>
      <c r="H754" s="52">
        <v>2.7893518518520002E-3</v>
      </c>
      <c r="I754">
        <v>12.769166946411133</v>
      </c>
      <c r="J754">
        <v>7969.9129834103396</v>
      </c>
      <c r="K754">
        <v>80.464145805819697</v>
      </c>
    </row>
    <row r="755" spans="1:11" x14ac:dyDescent="0.25">
      <c r="A755" t="str">
        <f>VLOOKUP(C755,'[2]Ensaio 1'!$A$2:$E$28,5,FALSE)</f>
        <v>Control</v>
      </c>
      <c r="B755">
        <f>VLOOKUP(C755,'[2]Ensaio 1'!$A$2:$F$28,6,FALSE)</f>
        <v>4</v>
      </c>
      <c r="C755" s="36">
        <v>960000003687554</v>
      </c>
      <c r="D755" s="36">
        <v>960000003687554</v>
      </c>
      <c r="E755" s="1">
        <f t="shared" si="11"/>
        <v>44972</v>
      </c>
      <c r="F755" s="51">
        <v>44972.641666666699</v>
      </c>
      <c r="G755" s="51">
        <v>44972.644803240699</v>
      </c>
      <c r="H755" s="52">
        <v>3.0902777777780002E-3</v>
      </c>
      <c r="I755">
        <v>15.399999618530273</v>
      </c>
      <c r="J755">
        <v>10809.843896232</v>
      </c>
      <c r="K755">
        <v>100.13960796505</v>
      </c>
    </row>
    <row r="756" spans="1:11" x14ac:dyDescent="0.25">
      <c r="A756" t="str">
        <f>VLOOKUP(C756,'[2]Ensaio 1'!$A$2:$E$28,5,FALSE)</f>
        <v>Control</v>
      </c>
      <c r="B756">
        <f>VLOOKUP(C756,'[2]Ensaio 1'!$A$2:$F$28,6,FALSE)</f>
        <v>4</v>
      </c>
      <c r="C756" s="36">
        <v>960000003599578</v>
      </c>
      <c r="D756" s="36">
        <v>960000003599578</v>
      </c>
      <c r="E756" s="1">
        <f t="shared" si="11"/>
        <v>44972</v>
      </c>
      <c r="F756" s="51">
        <v>44972.6584953704</v>
      </c>
      <c r="G756" s="51">
        <v>44972.661539351902</v>
      </c>
      <c r="H756" s="52">
        <v>3.0092592592589999E-3</v>
      </c>
      <c r="I756">
        <v>15.803889274597168</v>
      </c>
      <c r="J756">
        <v>10587.192543659799</v>
      </c>
      <c r="K756">
        <v>151.05841024674501</v>
      </c>
    </row>
    <row r="757" spans="1:11" x14ac:dyDescent="0.25">
      <c r="A757" t="str">
        <f>VLOOKUP(C757,'[2]Ensaio 1'!$A$2:$E$28,5,FALSE)</f>
        <v>Control</v>
      </c>
      <c r="B757">
        <f>VLOOKUP(C757,'[2]Ensaio 1'!$A$2:$F$28,6,FALSE)</f>
        <v>4</v>
      </c>
      <c r="C757" s="36">
        <v>960000003516091</v>
      </c>
      <c r="D757" s="36">
        <v>960000003516091</v>
      </c>
      <c r="E757" s="1">
        <f t="shared" si="11"/>
        <v>44972</v>
      </c>
      <c r="F757" s="51">
        <v>44972.721365740697</v>
      </c>
      <c r="G757" s="51">
        <v>44972.729710648098</v>
      </c>
      <c r="H757" s="52">
        <v>3.1597222222220001E-3</v>
      </c>
      <c r="I757">
        <v>17.312778472900391</v>
      </c>
      <c r="J757">
        <v>7590.7814742367</v>
      </c>
      <c r="K757">
        <v>96.828099616122202</v>
      </c>
    </row>
    <row r="758" spans="1:11" x14ac:dyDescent="0.25">
      <c r="A758" t="str">
        <f>VLOOKUP(C758,'[2]Ensaio 1'!$A$2:$E$28,5,FALSE)</f>
        <v>Control</v>
      </c>
      <c r="B758">
        <f>VLOOKUP(C758,'[2]Ensaio 1'!$A$2:$F$28,6,FALSE)</f>
        <v>4</v>
      </c>
      <c r="C758" s="36">
        <v>960000003688521</v>
      </c>
      <c r="D758" s="36">
        <v>960000003688521</v>
      </c>
      <c r="E758" s="1">
        <f t="shared" si="11"/>
        <v>44972</v>
      </c>
      <c r="F758" s="51">
        <v>44972.901435185202</v>
      </c>
      <c r="G758" s="51">
        <v>44972.905057870397</v>
      </c>
      <c r="H758" s="52">
        <v>3.4490740740739999E-3</v>
      </c>
      <c r="I758">
        <v>21.634445190429688</v>
      </c>
      <c r="J758">
        <v>8405.9090451112897</v>
      </c>
      <c r="K758">
        <v>189.804291638698</v>
      </c>
    </row>
    <row r="759" spans="1:11" x14ac:dyDescent="0.25">
      <c r="A759" t="str">
        <f>VLOOKUP(C759,'[2]Ensaio 1'!$A$2:$E$28,5,FALSE)</f>
        <v>Control</v>
      </c>
      <c r="B759">
        <f>VLOOKUP(C759,'[2]Ensaio 1'!$A$2:$F$28,6,FALSE)</f>
        <v>4</v>
      </c>
      <c r="C759" s="36">
        <v>960000003599578</v>
      </c>
      <c r="D759" s="36">
        <v>960000003599578</v>
      </c>
      <c r="E759" s="1">
        <f t="shared" si="11"/>
        <v>44972</v>
      </c>
      <c r="F759" s="51">
        <v>44972.907083333303</v>
      </c>
      <c r="G759" s="51">
        <v>44972.910821759302</v>
      </c>
      <c r="H759" s="52">
        <v>3.668981481481E-3</v>
      </c>
      <c r="I759">
        <v>21.770000457763672</v>
      </c>
      <c r="J759">
        <v>10650.0715495321</v>
      </c>
      <c r="K759">
        <v>139.15268334563601</v>
      </c>
    </row>
    <row r="760" spans="1:11" x14ac:dyDescent="0.25">
      <c r="A760" t="str">
        <f>VLOOKUP(C760,'[2]Ensaio 1'!$A$2:$E$28,5,FALSE)</f>
        <v>Control</v>
      </c>
      <c r="B760">
        <f>VLOOKUP(C760,'[2]Ensaio 1'!$A$2:$F$28,6,FALSE)</f>
        <v>4</v>
      </c>
      <c r="C760" s="36">
        <v>960000003687554</v>
      </c>
      <c r="D760" s="36">
        <v>960000003687554</v>
      </c>
      <c r="E760" s="1">
        <f t="shared" si="11"/>
        <v>44972</v>
      </c>
      <c r="F760" s="51">
        <v>44972.921666666698</v>
      </c>
      <c r="G760" s="51">
        <v>44972.924849536997</v>
      </c>
      <c r="H760" s="52">
        <v>3.1481481481479999E-3</v>
      </c>
      <c r="I760">
        <v>22.120000839233398</v>
      </c>
      <c r="J760">
        <v>10316.068099571299</v>
      </c>
      <c r="K760">
        <v>80.1247416713869</v>
      </c>
    </row>
    <row r="761" spans="1:11" x14ac:dyDescent="0.25">
      <c r="A761" t="str">
        <f>VLOOKUP(C761,'[2]Ensaio 1'!$A$2:$E$28,5,FALSE)</f>
        <v>Control</v>
      </c>
      <c r="B761">
        <f>VLOOKUP(C761,'[2]Ensaio 1'!$A$2:$F$28,6,FALSE)</f>
        <v>4</v>
      </c>
      <c r="C761" s="36">
        <v>960000003516091</v>
      </c>
      <c r="D761" s="36">
        <v>960000003516091</v>
      </c>
      <c r="E761" s="1">
        <f t="shared" si="11"/>
        <v>44973</v>
      </c>
      <c r="F761" s="51">
        <v>44973.009189814802</v>
      </c>
      <c r="G761" s="51">
        <v>44973.014212962997</v>
      </c>
      <c r="H761" s="52">
        <v>3.6226851851850002E-3</v>
      </c>
      <c r="I761">
        <v>0.22055555880069699</v>
      </c>
      <c r="J761">
        <v>8312.7463704181791</v>
      </c>
      <c r="K761">
        <v>99.093097890651293</v>
      </c>
    </row>
    <row r="762" spans="1:11" x14ac:dyDescent="0.25">
      <c r="A762" t="str">
        <f>VLOOKUP(C762,'[2]Ensaio 1'!$A$2:$E$28,5,FALSE)</f>
        <v>Control</v>
      </c>
      <c r="B762">
        <f>VLOOKUP(C762,'[2]Ensaio 1'!$A$2:$F$28,6,FALSE)</f>
        <v>4</v>
      </c>
      <c r="C762" s="36">
        <v>960000003687554</v>
      </c>
      <c r="D762" s="36">
        <v>960000003687554</v>
      </c>
      <c r="E762" s="1">
        <f t="shared" si="11"/>
        <v>44973</v>
      </c>
      <c r="F762" s="51">
        <v>44973.014583333301</v>
      </c>
      <c r="G762" s="51">
        <v>44973.0177430556</v>
      </c>
      <c r="H762" s="52">
        <v>3.1018518518520001E-3</v>
      </c>
      <c r="I762">
        <v>0.34999999403953602</v>
      </c>
      <c r="J762">
        <v>10785.6400328571</v>
      </c>
      <c r="K762">
        <v>119.176797444678</v>
      </c>
    </row>
    <row r="763" spans="1:11" x14ac:dyDescent="0.25">
      <c r="A763" t="str">
        <f>VLOOKUP(C763,'[2]Ensaio 1'!$A$2:$E$28,5,FALSE)</f>
        <v>Control</v>
      </c>
      <c r="B763">
        <f>VLOOKUP(C763,'[2]Ensaio 1'!$A$2:$F$28,6,FALSE)</f>
        <v>4</v>
      </c>
      <c r="C763" s="36">
        <v>960000003599578</v>
      </c>
      <c r="D763" s="36">
        <v>960000003599578</v>
      </c>
      <c r="E763" s="1">
        <f t="shared" si="11"/>
        <v>44973</v>
      </c>
      <c r="F763" s="51">
        <v>44973.021099537</v>
      </c>
      <c r="G763" s="51">
        <v>44973.030821759297</v>
      </c>
      <c r="H763" s="52">
        <v>3.4837962962959998E-3</v>
      </c>
      <c r="I763">
        <v>0.50638890266418501</v>
      </c>
      <c r="J763">
        <v>10394.202982593501</v>
      </c>
      <c r="K763">
        <v>127.452041231509</v>
      </c>
    </row>
    <row r="764" spans="1:11" x14ac:dyDescent="0.25">
      <c r="A764" t="str">
        <f>VLOOKUP(C764,'[2]Ensaio 1'!$A$2:$E$28,5,FALSE)</f>
        <v>Control</v>
      </c>
      <c r="B764">
        <f>VLOOKUP(C764,'[2]Ensaio 1'!$A$2:$F$28,6,FALSE)</f>
        <v>4</v>
      </c>
      <c r="C764" s="36">
        <v>960000003688521</v>
      </c>
      <c r="D764" s="36">
        <v>960000003688521</v>
      </c>
      <c r="E764" s="1">
        <f t="shared" si="11"/>
        <v>44973</v>
      </c>
      <c r="F764" s="51">
        <v>44973.0368171296</v>
      </c>
      <c r="G764" s="51">
        <v>44973.0401851852</v>
      </c>
      <c r="H764" s="52">
        <v>3.1250000000000002E-3</v>
      </c>
      <c r="I764">
        <v>0.88361108303070102</v>
      </c>
      <c r="J764">
        <v>9719.2321115638497</v>
      </c>
      <c r="K764">
        <v>77.767909778485006</v>
      </c>
    </row>
    <row r="765" spans="1:11" x14ac:dyDescent="0.25">
      <c r="A765" t="str">
        <f>VLOOKUP(C765,'[2]Ensaio 1'!$A$2:$E$28,5,FALSE)</f>
        <v>Control</v>
      </c>
      <c r="B765">
        <f>VLOOKUP(C765,'[2]Ensaio 1'!$A$2:$F$28,6,FALSE)</f>
        <v>4</v>
      </c>
      <c r="C765" s="36">
        <v>960000003687554</v>
      </c>
      <c r="D765" s="36">
        <v>960000003687554</v>
      </c>
      <c r="E765" s="1">
        <f t="shared" si="11"/>
        <v>44973</v>
      </c>
      <c r="F765" s="51">
        <v>44973.297604166699</v>
      </c>
      <c r="G765" s="51">
        <v>44973.303310185198</v>
      </c>
      <c r="H765" s="52">
        <v>3.0902777777780002E-3</v>
      </c>
      <c r="I765">
        <v>7.1424999237060547</v>
      </c>
      <c r="J765">
        <v>9767.4999924210006</v>
      </c>
      <c r="K765">
        <v>108.335445902584</v>
      </c>
    </row>
    <row r="766" spans="1:11" x14ac:dyDescent="0.25">
      <c r="A766" t="str">
        <f>VLOOKUP(C766,'[2]Ensaio 1'!$A$2:$E$28,5,FALSE)</f>
        <v>Control</v>
      </c>
      <c r="B766">
        <f>VLOOKUP(C766,'[2]Ensaio 1'!$A$2:$F$28,6,FALSE)</f>
        <v>4</v>
      </c>
      <c r="C766" s="36">
        <v>960000003516091</v>
      </c>
      <c r="D766" s="36">
        <v>960000003516091</v>
      </c>
      <c r="E766" s="1">
        <f t="shared" si="11"/>
        <v>44973</v>
      </c>
      <c r="F766" s="51">
        <v>44973.303321759297</v>
      </c>
      <c r="G766" s="51">
        <v>44973.309687499997</v>
      </c>
      <c r="H766" s="52">
        <v>3.8310185185190001E-3</v>
      </c>
      <c r="I766">
        <v>7.2797222137451172</v>
      </c>
      <c r="J766">
        <v>8103.1093171038301</v>
      </c>
      <c r="K766">
        <v>93.798858112072494</v>
      </c>
    </row>
    <row r="767" spans="1:11" x14ac:dyDescent="0.25">
      <c r="A767" t="str">
        <f>VLOOKUP(C767,'[2]Ensaio 1'!$A$2:$E$28,5,FALSE)</f>
        <v>Control</v>
      </c>
      <c r="B767">
        <f>VLOOKUP(C767,'[2]Ensaio 1'!$A$2:$F$28,6,FALSE)</f>
        <v>4</v>
      </c>
      <c r="C767" s="36">
        <v>960000003599578</v>
      </c>
      <c r="D767" s="36">
        <v>960000003599578</v>
      </c>
      <c r="E767" s="1">
        <f t="shared" si="11"/>
        <v>44973</v>
      </c>
      <c r="F767" s="51">
        <v>44973.313298611101</v>
      </c>
      <c r="G767" s="51">
        <v>44973.316956018498</v>
      </c>
      <c r="H767" s="52">
        <v>3.4606481481480001E-3</v>
      </c>
      <c r="I767">
        <v>7.5191664695739746</v>
      </c>
      <c r="J767">
        <v>8111.2621534979398</v>
      </c>
      <c r="K767">
        <v>99.462365485979305</v>
      </c>
    </row>
    <row r="768" spans="1:11" x14ac:dyDescent="0.25">
      <c r="A768" t="str">
        <f>VLOOKUP(C768,'[2]Ensaio 1'!$A$2:$E$28,5,FALSE)</f>
        <v>Control</v>
      </c>
      <c r="B768">
        <f>VLOOKUP(C768,'[2]Ensaio 1'!$A$2:$F$28,6,FALSE)</f>
        <v>4</v>
      </c>
      <c r="C768" s="36">
        <v>960000003688521</v>
      </c>
      <c r="D768" s="36">
        <v>960000003688521</v>
      </c>
      <c r="E768" s="1">
        <f t="shared" si="11"/>
        <v>44973</v>
      </c>
      <c r="F768" s="51">
        <v>44973.345185185201</v>
      </c>
      <c r="G768" s="51">
        <v>44973.348541666703</v>
      </c>
      <c r="H768" s="52">
        <v>3.2175925925929999E-3</v>
      </c>
      <c r="I768">
        <v>8.2844448089599609</v>
      </c>
      <c r="J768">
        <v>8384.9754521927098</v>
      </c>
      <c r="K768">
        <v>108.911838506546</v>
      </c>
    </row>
    <row r="769" spans="1:11" x14ac:dyDescent="0.25">
      <c r="A769" t="str">
        <f>VLOOKUP(C769,'[2]Ensaio 1'!$A$2:$E$28,5,FALSE)</f>
        <v>Control</v>
      </c>
      <c r="B769">
        <f>VLOOKUP(C769,'[2]Ensaio 1'!$A$2:$F$28,6,FALSE)</f>
        <v>4</v>
      </c>
      <c r="C769" s="36">
        <v>960000003688521</v>
      </c>
      <c r="D769" s="36">
        <v>960000003688521</v>
      </c>
      <c r="E769" s="1">
        <f t="shared" si="11"/>
        <v>44973</v>
      </c>
      <c r="F769" s="51">
        <v>44973.485266203701</v>
      </c>
      <c r="G769" s="51">
        <v>44973.487037036997</v>
      </c>
      <c r="H769" s="52">
        <v>1.5625000000000001E-3</v>
      </c>
      <c r="I769">
        <v>11.646389007568359</v>
      </c>
      <c r="J769">
        <v>8504.7348964489101</v>
      </c>
      <c r="K769">
        <v>86.180254177170696</v>
      </c>
    </row>
    <row r="770" spans="1:11" x14ac:dyDescent="0.25">
      <c r="A770" t="str">
        <f>VLOOKUP(C770,'[2]Ensaio 1'!$A$2:$E$28,5,FALSE)</f>
        <v>Control</v>
      </c>
      <c r="B770">
        <f>VLOOKUP(C770,'[2]Ensaio 1'!$A$2:$F$28,6,FALSE)</f>
        <v>4</v>
      </c>
      <c r="C770" s="36">
        <v>960000003688523</v>
      </c>
      <c r="D770" s="36">
        <v>960000003688523</v>
      </c>
      <c r="E770" s="1">
        <f t="shared" ref="E770:E833" si="12">ROUNDDOWN(LEFT(F770,10),0)</f>
        <v>44973</v>
      </c>
      <c r="F770" s="51">
        <v>44973.544097222199</v>
      </c>
      <c r="G770" s="51">
        <v>44973.550081018497</v>
      </c>
      <c r="H770" s="52">
        <v>1.5277777777779999E-3</v>
      </c>
      <c r="I770">
        <v>13.058333396911621</v>
      </c>
      <c r="J770">
        <v>9028.2600159720205</v>
      </c>
      <c r="K770">
        <v>43.1229543090287</v>
      </c>
    </row>
    <row r="771" spans="1:11" x14ac:dyDescent="0.25">
      <c r="A771" t="str">
        <f>VLOOKUP(C771,'[2]Ensaio 1'!$A$2:$E$28,5,FALSE)</f>
        <v>Control</v>
      </c>
      <c r="B771">
        <f>VLOOKUP(C771,'[2]Ensaio 1'!$A$2:$F$28,6,FALSE)</f>
        <v>4</v>
      </c>
      <c r="C771" s="36">
        <v>960000003688521</v>
      </c>
      <c r="D771" s="36">
        <v>960000003688521</v>
      </c>
      <c r="E771" s="1">
        <f t="shared" si="12"/>
        <v>44973</v>
      </c>
      <c r="F771" s="51">
        <v>44973.5557638889</v>
      </c>
      <c r="G771" s="51">
        <v>44973.559398148202</v>
      </c>
      <c r="H771" s="52">
        <v>3.275462962963E-3</v>
      </c>
      <c r="I771">
        <v>13.338333129882813</v>
      </c>
      <c r="J771">
        <v>10221.3857616611</v>
      </c>
      <c r="K771">
        <v>101.53477356156201</v>
      </c>
    </row>
    <row r="772" spans="1:11" x14ac:dyDescent="0.25">
      <c r="A772" t="str">
        <f>VLOOKUP(C772,'[2]Ensaio 1'!$A$2:$E$28,5,FALSE)</f>
        <v>Control</v>
      </c>
      <c r="B772">
        <f>VLOOKUP(C772,'[2]Ensaio 1'!$A$2:$F$28,6,FALSE)</f>
        <v>4</v>
      </c>
      <c r="C772" s="36">
        <v>960000003687554</v>
      </c>
      <c r="D772" s="36">
        <v>960000003687554</v>
      </c>
      <c r="E772" s="1">
        <f t="shared" si="12"/>
        <v>44973</v>
      </c>
      <c r="F772" s="51">
        <v>44973.563009259298</v>
      </c>
      <c r="G772" s="51">
        <v>44973.566041666701</v>
      </c>
      <c r="H772" s="52">
        <v>2.905092592593E-3</v>
      </c>
      <c r="I772">
        <v>13.512222290039063</v>
      </c>
      <c r="J772">
        <v>10075.197669864199</v>
      </c>
      <c r="K772">
        <v>55.512462551974799</v>
      </c>
    </row>
    <row r="773" spans="1:11" x14ac:dyDescent="0.25">
      <c r="A773" t="str">
        <f>VLOOKUP(C773,'[2]Ensaio 1'!$A$2:$E$28,5,FALSE)</f>
        <v>Control</v>
      </c>
      <c r="B773">
        <f>VLOOKUP(C773,'[2]Ensaio 1'!$A$2:$F$28,6,FALSE)</f>
        <v>4</v>
      </c>
      <c r="C773" s="36">
        <v>960000003599578</v>
      </c>
      <c r="D773" s="36">
        <v>960000003599578</v>
      </c>
      <c r="E773" s="1">
        <f t="shared" si="12"/>
        <v>44973</v>
      </c>
      <c r="F773" s="51">
        <v>44973.601817129602</v>
      </c>
      <c r="G773" s="51">
        <v>44973.605405092603</v>
      </c>
      <c r="H773" s="52">
        <v>3.2986111111110001E-3</v>
      </c>
      <c r="I773">
        <v>14.443611145019531</v>
      </c>
      <c r="J773">
        <v>8856.8251747758404</v>
      </c>
      <c r="K773">
        <v>62.935477485834397</v>
      </c>
    </row>
    <row r="774" spans="1:11" x14ac:dyDescent="0.25">
      <c r="A774" t="str">
        <f>VLOOKUP(C774,'[2]Ensaio 1'!$A$2:$E$28,5,FALSE)</f>
        <v>Control</v>
      </c>
      <c r="B774">
        <f>VLOOKUP(C774,'[2]Ensaio 1'!$A$2:$F$28,6,FALSE)</f>
        <v>4</v>
      </c>
      <c r="C774" s="36">
        <v>960000003516091</v>
      </c>
      <c r="D774" s="36">
        <v>960000003516091</v>
      </c>
      <c r="E774" s="1">
        <f t="shared" si="12"/>
        <v>44973</v>
      </c>
      <c r="F774" s="51">
        <v>44973.607615740701</v>
      </c>
      <c r="G774" s="51">
        <v>44973.613958333299</v>
      </c>
      <c r="H774" s="52">
        <v>3.2291666666670001E-3</v>
      </c>
      <c r="I774">
        <v>14.582777976989746</v>
      </c>
      <c r="J774">
        <v>7457.4916098679196</v>
      </c>
      <c r="K774">
        <v>88.925221681337803</v>
      </c>
    </row>
    <row r="775" spans="1:11" x14ac:dyDescent="0.25">
      <c r="A775" t="str">
        <f>VLOOKUP(C775,'[2]Ensaio 1'!$A$2:$E$28,5,FALSE)</f>
        <v>Control</v>
      </c>
      <c r="B775">
        <f>VLOOKUP(C775,'[2]Ensaio 1'!$A$2:$F$28,6,FALSE)</f>
        <v>4</v>
      </c>
      <c r="C775" s="36">
        <v>960000003687554</v>
      </c>
      <c r="D775" s="36">
        <v>960000003687554</v>
      </c>
      <c r="E775" s="1">
        <f t="shared" si="12"/>
        <v>44973</v>
      </c>
      <c r="F775" s="51">
        <v>44973.774953703702</v>
      </c>
      <c r="G775" s="51">
        <v>44973.778344907398</v>
      </c>
      <c r="H775" s="52">
        <v>3.2870370370369998E-3</v>
      </c>
      <c r="I775">
        <v>18.598888397216797</v>
      </c>
      <c r="J775">
        <v>11188.852182446701</v>
      </c>
      <c r="K775">
        <v>137.72173831027101</v>
      </c>
    </row>
    <row r="776" spans="1:11" x14ac:dyDescent="0.25">
      <c r="A776" t="str">
        <f>VLOOKUP(C776,'[2]Ensaio 1'!$A$2:$E$28,5,FALSE)</f>
        <v>Control</v>
      </c>
      <c r="B776">
        <f>VLOOKUP(C776,'[2]Ensaio 1'!$A$2:$F$28,6,FALSE)</f>
        <v>4</v>
      </c>
      <c r="C776" s="36">
        <v>960000003688521</v>
      </c>
      <c r="D776" s="36">
        <v>960000003688521</v>
      </c>
      <c r="E776" s="1">
        <f t="shared" si="12"/>
        <v>44973</v>
      </c>
      <c r="F776" s="51">
        <v>44973.781446759298</v>
      </c>
      <c r="G776" s="51">
        <v>44973.788854166698</v>
      </c>
      <c r="H776" s="52">
        <v>4.8263888888889998E-3</v>
      </c>
      <c r="I776">
        <v>18.754722595214844</v>
      </c>
      <c r="J776">
        <v>10233.822930690299</v>
      </c>
      <c r="K776">
        <v>156.665274442651</v>
      </c>
    </row>
    <row r="777" spans="1:11" x14ac:dyDescent="0.25">
      <c r="A777" t="str">
        <f>VLOOKUP(C777,'[2]Ensaio 1'!$A$2:$E$28,5,FALSE)</f>
        <v>Control</v>
      </c>
      <c r="B777">
        <f>VLOOKUP(C777,'[2]Ensaio 1'!$A$2:$F$28,6,FALSE)</f>
        <v>4</v>
      </c>
      <c r="C777" s="36">
        <v>960000003516091</v>
      </c>
      <c r="D777" s="36">
        <v>960000003516091</v>
      </c>
      <c r="E777" s="1">
        <f t="shared" si="12"/>
        <v>44973</v>
      </c>
      <c r="F777" s="51">
        <v>44973.945555555598</v>
      </c>
      <c r="G777" s="51">
        <v>44973.950682870403</v>
      </c>
      <c r="H777" s="52">
        <v>3.877314814815E-3</v>
      </c>
      <c r="I777">
        <v>22.693332672119141</v>
      </c>
      <c r="J777">
        <v>8419.4297702573294</v>
      </c>
      <c r="K777">
        <v>88.979198735933494</v>
      </c>
    </row>
    <row r="778" spans="1:11" x14ac:dyDescent="0.25">
      <c r="A778" t="str">
        <f>VLOOKUP(C778,'[2]Ensaio 1'!$A$2:$E$28,5,FALSE)</f>
        <v>Control</v>
      </c>
      <c r="B778">
        <f>VLOOKUP(C778,'[2]Ensaio 1'!$A$2:$F$28,6,FALSE)</f>
        <v>4</v>
      </c>
      <c r="C778" s="36">
        <v>960000003599578</v>
      </c>
      <c r="D778" s="36">
        <v>960000003599578</v>
      </c>
      <c r="E778" s="1">
        <f t="shared" si="12"/>
        <v>44973</v>
      </c>
      <c r="F778" s="51">
        <v>44973.950902777797</v>
      </c>
      <c r="G778" s="51">
        <v>44973.954641203702</v>
      </c>
      <c r="H778" s="52">
        <v>3.1134259259259999E-3</v>
      </c>
      <c r="I778">
        <v>22.821666717529297</v>
      </c>
      <c r="J778">
        <v>11057.8022504171</v>
      </c>
      <c r="K778">
        <v>114.62824791660201</v>
      </c>
    </row>
    <row r="779" spans="1:11" x14ac:dyDescent="0.25">
      <c r="A779" t="str">
        <f>VLOOKUP(C779,'[2]Ensaio 1'!$A$2:$E$28,5,FALSE)</f>
        <v>Control</v>
      </c>
      <c r="B779">
        <f>VLOOKUP(C779,'[2]Ensaio 1'!$A$2:$F$28,6,FALSE)</f>
        <v>4</v>
      </c>
      <c r="C779" s="36">
        <v>960000003599578</v>
      </c>
      <c r="D779" s="36">
        <v>960000003599578</v>
      </c>
      <c r="E779" s="1">
        <f t="shared" si="12"/>
        <v>44974</v>
      </c>
      <c r="F779" s="51">
        <v>44974.012708333299</v>
      </c>
      <c r="G779" s="51">
        <v>44974.0161689815</v>
      </c>
      <c r="H779" s="52">
        <v>3.4143518518519999E-3</v>
      </c>
      <c r="I779">
        <v>0.30500000715255698</v>
      </c>
      <c r="J779">
        <v>9980.7690988794202</v>
      </c>
      <c r="K779">
        <v>118.16291063701</v>
      </c>
    </row>
    <row r="780" spans="1:11" x14ac:dyDescent="0.25">
      <c r="A780" t="str">
        <f>VLOOKUP(C780,'[2]Ensaio 1'!$A$2:$E$28,5,FALSE)</f>
        <v>Control</v>
      </c>
      <c r="B780">
        <f>VLOOKUP(C780,'[2]Ensaio 1'!$A$2:$F$28,6,FALSE)</f>
        <v>4</v>
      </c>
      <c r="C780" s="36">
        <v>960000003599578</v>
      </c>
      <c r="D780" s="36">
        <v>960000003599578</v>
      </c>
      <c r="E780" s="1">
        <f t="shared" si="12"/>
        <v>44974</v>
      </c>
      <c r="F780" s="51">
        <v>44974.299699074101</v>
      </c>
      <c r="G780" s="51">
        <v>44974.3032060185</v>
      </c>
      <c r="H780" s="52">
        <v>3.4490740740739999E-3</v>
      </c>
      <c r="I780">
        <v>7.1927776336669922</v>
      </c>
      <c r="J780">
        <v>9564.3782045746593</v>
      </c>
      <c r="K780">
        <v>101.918375721953</v>
      </c>
    </row>
    <row r="781" spans="1:11" x14ac:dyDescent="0.25">
      <c r="A781" t="str">
        <f>VLOOKUP(C781,'[2]Ensaio 1'!$A$2:$E$28,5,FALSE)</f>
        <v>Control</v>
      </c>
      <c r="B781">
        <f>VLOOKUP(C781,'[2]Ensaio 1'!$A$2:$F$28,6,FALSE)</f>
        <v>4</v>
      </c>
      <c r="C781" s="36">
        <v>960000003516091</v>
      </c>
      <c r="D781" s="36">
        <v>960000003516091</v>
      </c>
      <c r="E781" s="1">
        <f t="shared" si="12"/>
        <v>44974</v>
      </c>
      <c r="F781" s="51">
        <v>44974.315069444398</v>
      </c>
      <c r="G781" s="51">
        <v>44974.319976851897</v>
      </c>
      <c r="H781" s="52">
        <v>3.4953703703700001E-3</v>
      </c>
      <c r="I781">
        <v>7.5616664886474609</v>
      </c>
      <c r="J781">
        <v>7330.9327786825397</v>
      </c>
      <c r="K781">
        <v>68.805965240344904</v>
      </c>
    </row>
    <row r="782" spans="1:11" x14ac:dyDescent="0.25">
      <c r="A782" t="str">
        <f>VLOOKUP(C782,'[2]Ensaio 1'!$A$2:$E$28,5,FALSE)</f>
        <v>Control</v>
      </c>
      <c r="B782">
        <f>VLOOKUP(C782,'[2]Ensaio 1'!$A$2:$F$28,6,FALSE)</f>
        <v>4</v>
      </c>
      <c r="C782" s="36">
        <v>960000003688521</v>
      </c>
      <c r="D782" s="36">
        <v>960000003688521</v>
      </c>
      <c r="E782" s="1">
        <f t="shared" si="12"/>
        <v>44974</v>
      </c>
      <c r="F782" s="51">
        <v>44974.324780092596</v>
      </c>
      <c r="G782" s="51">
        <v>44974.328113425901</v>
      </c>
      <c r="H782" s="52">
        <v>2.3611111111110001E-3</v>
      </c>
      <c r="I782">
        <v>7.7947220802307129</v>
      </c>
      <c r="J782">
        <v>7717.4433380836399</v>
      </c>
      <c r="K782">
        <v>29.965929335649001</v>
      </c>
    </row>
    <row r="783" spans="1:11" x14ac:dyDescent="0.25">
      <c r="A783" t="str">
        <f>VLOOKUP(C783,'[2]Ensaio 1'!$A$2:$E$28,5,FALSE)</f>
        <v>Control</v>
      </c>
      <c r="B783">
        <f>VLOOKUP(C783,'[2]Ensaio 1'!$A$2:$F$28,6,FALSE)</f>
        <v>4</v>
      </c>
      <c r="C783" s="36">
        <v>960000003687554</v>
      </c>
      <c r="D783" s="36">
        <v>960000003687554</v>
      </c>
      <c r="E783" s="1">
        <f t="shared" si="12"/>
        <v>44974</v>
      </c>
      <c r="F783" s="51">
        <v>44974.467604166697</v>
      </c>
      <c r="G783" s="51">
        <v>44974.470972222203</v>
      </c>
      <c r="H783" s="52">
        <v>3.1250000000000002E-3</v>
      </c>
      <c r="I783">
        <v>11.222499847412109</v>
      </c>
      <c r="J783">
        <v>9556.6930608027105</v>
      </c>
      <c r="K783">
        <v>132.800205649069</v>
      </c>
    </row>
    <row r="784" spans="1:11" x14ac:dyDescent="0.25">
      <c r="A784" t="str">
        <f>VLOOKUP(C784,'[2]Ensaio 1'!$A$2:$E$28,5,FALSE)</f>
        <v>Control</v>
      </c>
      <c r="B784">
        <f>VLOOKUP(C784,'[2]Ensaio 1'!$A$2:$F$28,6,FALSE)</f>
        <v>4</v>
      </c>
      <c r="C784" s="36">
        <v>960000003599578</v>
      </c>
      <c r="D784" s="36">
        <v>960000003599578</v>
      </c>
      <c r="E784" s="1">
        <f t="shared" si="12"/>
        <v>44974</v>
      </c>
      <c r="F784" s="51">
        <v>44974.598009259302</v>
      </c>
      <c r="G784" s="51">
        <v>44974.6019675926</v>
      </c>
      <c r="H784" s="52">
        <v>3.8888888888889998E-3</v>
      </c>
      <c r="I784">
        <v>14.352222442626953</v>
      </c>
      <c r="J784">
        <v>8943.9450085182707</v>
      </c>
      <c r="K784">
        <v>136.547938852051</v>
      </c>
    </row>
    <row r="785" spans="1:11" x14ac:dyDescent="0.25">
      <c r="A785" t="str">
        <f>VLOOKUP(C785,'[2]Ensaio 1'!$A$2:$E$28,5,FALSE)</f>
        <v>Control</v>
      </c>
      <c r="B785">
        <f>VLOOKUP(C785,'[2]Ensaio 1'!$A$2:$F$28,6,FALSE)</f>
        <v>4</v>
      </c>
      <c r="C785" s="36">
        <v>960000003516091</v>
      </c>
      <c r="D785" s="36">
        <v>960000003516091</v>
      </c>
      <c r="E785" s="1">
        <f t="shared" si="12"/>
        <v>44974</v>
      </c>
      <c r="F785" s="51">
        <v>44974.602361111101</v>
      </c>
      <c r="G785" s="51">
        <v>44974.608020833301</v>
      </c>
      <c r="H785" s="52">
        <v>3.8888888888889998E-3</v>
      </c>
      <c r="I785">
        <v>14.456666946411133</v>
      </c>
      <c r="J785">
        <v>6853.0317517079202</v>
      </c>
      <c r="K785">
        <v>77.712947301274198</v>
      </c>
    </row>
    <row r="786" spans="1:11" x14ac:dyDescent="0.25">
      <c r="A786" t="str">
        <f>VLOOKUP(C786,'[2]Ensaio 1'!$A$2:$E$28,5,FALSE)</f>
        <v>Control</v>
      </c>
      <c r="B786">
        <f>VLOOKUP(C786,'[2]Ensaio 1'!$A$2:$F$28,6,FALSE)</f>
        <v>4</v>
      </c>
      <c r="C786" s="36">
        <v>960000003688521</v>
      </c>
      <c r="D786" s="36">
        <v>960000003688521</v>
      </c>
      <c r="E786" s="1">
        <f t="shared" si="12"/>
        <v>44974</v>
      </c>
      <c r="F786" s="51">
        <v>44974.621631944399</v>
      </c>
      <c r="G786" s="51">
        <v>44974.624895833302</v>
      </c>
      <c r="H786" s="52">
        <v>3.171296296296E-3</v>
      </c>
      <c r="I786">
        <v>14.919166564941406</v>
      </c>
      <c r="J786">
        <v>7356.0409801141304</v>
      </c>
      <c r="K786">
        <v>130.42678696553699</v>
      </c>
    </row>
    <row r="787" spans="1:11" x14ac:dyDescent="0.25">
      <c r="A787" t="str">
        <f>VLOOKUP(C787,'[2]Ensaio 1'!$A$2:$E$28,5,FALSE)</f>
        <v>Control</v>
      </c>
      <c r="B787">
        <f>VLOOKUP(C787,'[2]Ensaio 1'!$A$2:$F$28,6,FALSE)</f>
        <v>4</v>
      </c>
      <c r="C787" s="36">
        <v>960000003687554</v>
      </c>
      <c r="D787" s="36">
        <v>960000003687554</v>
      </c>
      <c r="E787" s="1">
        <f t="shared" si="12"/>
        <v>44974</v>
      </c>
      <c r="F787" s="51">
        <v>44974.688750000001</v>
      </c>
      <c r="G787" s="51">
        <v>44974.691979166702</v>
      </c>
      <c r="H787" s="52">
        <v>2.673611111111E-3</v>
      </c>
      <c r="I787">
        <v>16.530000686645508</v>
      </c>
      <c r="J787">
        <v>10699.252174921499</v>
      </c>
      <c r="K787">
        <v>147.39920203560601</v>
      </c>
    </row>
    <row r="788" spans="1:11" x14ac:dyDescent="0.25">
      <c r="A788" t="str">
        <f>VLOOKUP(C788,'[2]Ensaio 1'!$A$2:$E$28,5,FALSE)</f>
        <v>Control</v>
      </c>
      <c r="B788">
        <f>VLOOKUP(C788,'[2]Ensaio 1'!$A$2:$F$28,6,FALSE)</f>
        <v>4</v>
      </c>
      <c r="C788" s="36">
        <v>960000003599578</v>
      </c>
      <c r="D788" s="36">
        <v>960000003599578</v>
      </c>
      <c r="E788" s="1">
        <f t="shared" si="12"/>
        <v>44974</v>
      </c>
      <c r="F788" s="51">
        <v>44974.790486111102</v>
      </c>
      <c r="G788" s="51">
        <v>44974.791932870401</v>
      </c>
      <c r="H788" s="52">
        <v>1.4236111111109999E-3</v>
      </c>
      <c r="I788">
        <v>18.97166633605957</v>
      </c>
      <c r="J788">
        <v>10011.9497127297</v>
      </c>
      <c r="K788">
        <v>170.44039333279599</v>
      </c>
    </row>
    <row r="789" spans="1:11" x14ac:dyDescent="0.25">
      <c r="A789" t="str">
        <f>VLOOKUP(C789,'[2]Ensaio 1'!$A$2:$E$28,5,FALSE)</f>
        <v>Control</v>
      </c>
      <c r="B789">
        <f>VLOOKUP(C789,'[2]Ensaio 1'!$A$2:$F$28,6,FALSE)</f>
        <v>4</v>
      </c>
      <c r="C789" s="36">
        <v>960000003599578</v>
      </c>
      <c r="D789" s="36">
        <v>960000003599578</v>
      </c>
      <c r="E789" s="1">
        <f t="shared" si="12"/>
        <v>44974</v>
      </c>
      <c r="F789" s="51">
        <v>44974.906469907401</v>
      </c>
      <c r="G789" s="51">
        <v>44974.909351851798</v>
      </c>
      <c r="H789" s="52">
        <v>2.8472222222219999E-3</v>
      </c>
      <c r="I789">
        <v>21.755277633666992</v>
      </c>
      <c r="J789">
        <v>10603.422429009899</v>
      </c>
      <c r="K789">
        <v>140.20420330944</v>
      </c>
    </row>
    <row r="790" spans="1:11" x14ac:dyDescent="0.25">
      <c r="A790" t="str">
        <f>VLOOKUP(C790,'[2]Ensaio 1'!$A$2:$E$28,5,FALSE)</f>
        <v>Control</v>
      </c>
      <c r="B790">
        <f>VLOOKUP(C790,'[2]Ensaio 1'!$A$2:$F$28,6,FALSE)</f>
        <v>4</v>
      </c>
      <c r="C790" s="36">
        <v>960000003599578</v>
      </c>
      <c r="D790" s="36">
        <v>960000003599578</v>
      </c>
      <c r="E790" s="1">
        <f t="shared" si="12"/>
        <v>44974</v>
      </c>
      <c r="F790" s="51">
        <v>44974.964363425897</v>
      </c>
      <c r="G790" s="51">
        <v>44974.966354166703</v>
      </c>
      <c r="H790" s="52">
        <v>1.8287037037039999E-3</v>
      </c>
      <c r="I790">
        <v>23.144721984863281</v>
      </c>
      <c r="J790">
        <v>10027.465681012</v>
      </c>
      <c r="K790">
        <v>231.13231631510899</v>
      </c>
    </row>
    <row r="791" spans="1:11" x14ac:dyDescent="0.25">
      <c r="A791" t="str">
        <f>VLOOKUP(C791,'[2]Ensaio 1'!$A$2:$E$28,5,FALSE)</f>
        <v>Control</v>
      </c>
      <c r="B791">
        <f>VLOOKUP(C791,'[2]Ensaio 1'!$A$2:$F$28,6,FALSE)</f>
        <v>4</v>
      </c>
      <c r="C791" s="36">
        <v>960000003687554</v>
      </c>
      <c r="D791" s="36">
        <v>960000003687554</v>
      </c>
      <c r="E791" s="1">
        <f t="shared" si="12"/>
        <v>44974</v>
      </c>
      <c r="F791" s="51">
        <v>44974.980104166701</v>
      </c>
      <c r="G791" s="51">
        <v>44974.9831597222</v>
      </c>
      <c r="H791" s="52">
        <v>2.9629629629630001E-3</v>
      </c>
      <c r="I791">
        <v>23.522499084472656</v>
      </c>
      <c r="J791">
        <v>9111.2591581023607</v>
      </c>
      <c r="K791">
        <v>93.666717103983103</v>
      </c>
    </row>
    <row r="792" spans="1:11" x14ac:dyDescent="0.25">
      <c r="A792" t="str">
        <f>VLOOKUP(C792,'[2]Ensaio 1'!$A$2:$E$28,5,FALSE)</f>
        <v>Control</v>
      </c>
      <c r="B792">
        <f>VLOOKUP(C792,'[2]Ensaio 1'!$A$2:$F$28,6,FALSE)</f>
        <v>4</v>
      </c>
      <c r="C792" s="36">
        <v>960000003516091</v>
      </c>
      <c r="D792" s="36">
        <v>960000003516091</v>
      </c>
      <c r="E792" s="1">
        <f t="shared" si="12"/>
        <v>44974</v>
      </c>
      <c r="F792" s="51">
        <v>44974.985393518502</v>
      </c>
      <c r="G792" s="51">
        <v>44974.989907407398</v>
      </c>
      <c r="H792" s="52">
        <v>3.1018518518520001E-3</v>
      </c>
      <c r="I792">
        <v>23.649444580078125</v>
      </c>
      <c r="J792">
        <v>7933.7752857747901</v>
      </c>
      <c r="K792">
        <v>76.783809906355501</v>
      </c>
    </row>
    <row r="793" spans="1:11" x14ac:dyDescent="0.25">
      <c r="A793" t="str">
        <f>VLOOKUP(C793,'[2]Ensaio 1'!$A$2:$E$28,5,FALSE)</f>
        <v>Control</v>
      </c>
      <c r="B793">
        <f>VLOOKUP(C793,'[2]Ensaio 1'!$A$2:$F$28,6,FALSE)</f>
        <v>4</v>
      </c>
      <c r="C793" s="36">
        <v>960000003688521</v>
      </c>
      <c r="D793" s="36">
        <v>960000003688521</v>
      </c>
      <c r="E793" s="1">
        <f t="shared" si="12"/>
        <v>44975</v>
      </c>
      <c r="F793" s="51">
        <v>44975.015625</v>
      </c>
      <c r="G793" s="51">
        <v>44975.022071759297</v>
      </c>
      <c r="H793" s="52">
        <v>3.8888888888889998E-3</v>
      </c>
      <c r="I793">
        <v>0.375</v>
      </c>
      <c r="J793">
        <v>9108.0012845060392</v>
      </c>
      <c r="K793">
        <v>97.969569243677597</v>
      </c>
    </row>
    <row r="794" spans="1:11" x14ac:dyDescent="0.25">
      <c r="A794" t="str">
        <f>VLOOKUP(C794,'[2]Ensaio 1'!$A$2:$E$28,5,FALSE)</f>
        <v>Control</v>
      </c>
      <c r="B794">
        <f>VLOOKUP(C794,'[2]Ensaio 1'!$A$2:$F$28,6,FALSE)</f>
        <v>4</v>
      </c>
      <c r="C794" s="36">
        <v>960000003599578</v>
      </c>
      <c r="D794" s="36">
        <v>960000003599578</v>
      </c>
      <c r="E794" s="1">
        <f t="shared" si="12"/>
        <v>44975</v>
      </c>
      <c r="F794" s="51">
        <v>44975.093449074098</v>
      </c>
      <c r="G794" s="51">
        <v>44975.097106481502</v>
      </c>
      <c r="H794" s="52">
        <v>3.5879629629629998E-3</v>
      </c>
      <c r="I794">
        <v>2.242777824401855</v>
      </c>
      <c r="J794">
        <v>10004.2123840528</v>
      </c>
      <c r="K794">
        <v>129.97871424810401</v>
      </c>
    </row>
    <row r="795" spans="1:11" x14ac:dyDescent="0.25">
      <c r="A795" t="str">
        <f>VLOOKUP(C795,'[2]Ensaio 1'!$A$2:$E$28,5,FALSE)</f>
        <v>Control</v>
      </c>
      <c r="B795">
        <f>VLOOKUP(C795,'[2]Ensaio 1'!$A$2:$F$28,6,FALSE)</f>
        <v>4</v>
      </c>
      <c r="C795" s="36">
        <v>960000003687554</v>
      </c>
      <c r="D795" s="36">
        <v>960000003687554</v>
      </c>
      <c r="E795" s="1">
        <f t="shared" si="12"/>
        <v>44975</v>
      </c>
      <c r="F795" s="51">
        <v>44975.098020833299</v>
      </c>
      <c r="G795" s="51">
        <v>44975.101006944402</v>
      </c>
      <c r="H795" s="52">
        <v>2.6967592592590001E-3</v>
      </c>
      <c r="I795">
        <v>2.3524999618530269</v>
      </c>
      <c r="J795">
        <v>12048.0345082976</v>
      </c>
      <c r="K795">
        <v>134.43890623981201</v>
      </c>
    </row>
    <row r="796" spans="1:11" x14ac:dyDescent="0.25">
      <c r="A796" t="str">
        <f>VLOOKUP(C796,'[2]Ensaio 1'!$A$2:$E$28,5,FALSE)</f>
        <v>Control</v>
      </c>
      <c r="B796">
        <f>VLOOKUP(C796,'[2]Ensaio 1'!$A$2:$F$28,6,FALSE)</f>
        <v>4</v>
      </c>
      <c r="C796" s="36">
        <v>960000003516091</v>
      </c>
      <c r="D796" s="36">
        <v>960000003516091</v>
      </c>
      <c r="E796" s="1">
        <f t="shared" si="12"/>
        <v>44975</v>
      </c>
      <c r="F796" s="51">
        <v>44975.1106828704</v>
      </c>
      <c r="G796" s="51">
        <v>44975.1150694444</v>
      </c>
      <c r="H796" s="52">
        <v>2.5000000000000001E-3</v>
      </c>
      <c r="I796">
        <v>2.6563889980316162</v>
      </c>
      <c r="J796">
        <v>7366.2966372476003</v>
      </c>
      <c r="K796">
        <v>76.446937731700103</v>
      </c>
    </row>
    <row r="797" spans="1:11" x14ac:dyDescent="0.25">
      <c r="A797" t="str">
        <f>VLOOKUP(C797,'[2]Ensaio 1'!$A$2:$E$28,5,FALSE)</f>
        <v>Control</v>
      </c>
      <c r="B797">
        <f>VLOOKUP(C797,'[2]Ensaio 1'!$A$2:$F$28,6,FALSE)</f>
        <v>4</v>
      </c>
      <c r="C797" s="36">
        <v>960000003688521</v>
      </c>
      <c r="D797" s="36">
        <v>960000003688521</v>
      </c>
      <c r="E797" s="1">
        <f t="shared" si="12"/>
        <v>44975</v>
      </c>
      <c r="F797" s="51">
        <v>44975.293506944399</v>
      </c>
      <c r="G797" s="51">
        <v>44975.297407407401</v>
      </c>
      <c r="H797" s="52">
        <v>2.7893518518520002E-3</v>
      </c>
      <c r="I797">
        <v>7.0441665649414063</v>
      </c>
      <c r="J797">
        <v>8016.8433674374101</v>
      </c>
      <c r="K797">
        <v>45.741840950285997</v>
      </c>
    </row>
    <row r="798" spans="1:11" x14ac:dyDescent="0.25">
      <c r="A798" t="str">
        <f>VLOOKUP(C798,'[2]Ensaio 1'!$A$2:$E$28,5,FALSE)</f>
        <v>Control</v>
      </c>
      <c r="B798">
        <f>VLOOKUP(C798,'[2]Ensaio 1'!$A$2:$F$28,6,FALSE)</f>
        <v>4</v>
      </c>
      <c r="C798" s="36">
        <v>960000003599578</v>
      </c>
      <c r="D798" s="36">
        <v>960000003599578</v>
      </c>
      <c r="E798" s="1">
        <f t="shared" si="12"/>
        <v>44975</v>
      </c>
      <c r="F798" s="51">
        <v>44975.323692129597</v>
      </c>
      <c r="G798" s="51">
        <v>44975.328819444403</v>
      </c>
      <c r="H798" s="52">
        <v>3.576388888889E-3</v>
      </c>
      <c r="I798">
        <v>7.768610954284668</v>
      </c>
      <c r="J798">
        <v>9996.69675706622</v>
      </c>
      <c r="K798">
        <v>164.407868661577</v>
      </c>
    </row>
    <row r="799" spans="1:11" x14ac:dyDescent="0.25">
      <c r="A799" t="str">
        <f>VLOOKUP(C799,'[2]Ensaio 1'!$A$2:$E$28,5,FALSE)</f>
        <v>Control</v>
      </c>
      <c r="B799">
        <f>VLOOKUP(C799,'[2]Ensaio 1'!$A$2:$F$28,6,FALSE)</f>
        <v>4</v>
      </c>
      <c r="C799" s="36">
        <v>960000003687554</v>
      </c>
      <c r="D799" s="36">
        <v>960000003687554</v>
      </c>
      <c r="E799" s="1">
        <f t="shared" si="12"/>
        <v>44975</v>
      </c>
      <c r="F799" s="51">
        <v>44975.355335648099</v>
      </c>
      <c r="G799" s="51">
        <v>44975.357962962997</v>
      </c>
      <c r="H799" s="52">
        <v>2.4074074074069999E-3</v>
      </c>
      <c r="I799">
        <v>8.5280551910400391</v>
      </c>
      <c r="J799">
        <v>10101.5886222054</v>
      </c>
      <c r="K799">
        <v>161.81851460943699</v>
      </c>
    </row>
    <row r="800" spans="1:11" x14ac:dyDescent="0.25">
      <c r="A800" t="str">
        <f>VLOOKUP(C800,'[2]Ensaio 1'!$A$2:$E$28,5,FALSE)</f>
        <v>Control</v>
      </c>
      <c r="B800">
        <f>VLOOKUP(C800,'[2]Ensaio 1'!$A$2:$F$28,6,FALSE)</f>
        <v>4</v>
      </c>
      <c r="C800" s="36">
        <v>960000003599578</v>
      </c>
      <c r="D800" s="36">
        <v>960000003599578</v>
      </c>
      <c r="E800" s="1">
        <f t="shared" si="12"/>
        <v>44975</v>
      </c>
      <c r="F800" s="51">
        <v>44975.391446759299</v>
      </c>
      <c r="G800" s="51">
        <v>44975.393483796302</v>
      </c>
      <c r="H800" s="52">
        <v>1.7245370370369999E-3</v>
      </c>
      <c r="I800">
        <v>9.3947219848632813</v>
      </c>
      <c r="J800">
        <v>10267.646167264</v>
      </c>
      <c r="K800">
        <v>150.697102355678</v>
      </c>
    </row>
    <row r="801" spans="1:11" x14ac:dyDescent="0.25">
      <c r="A801" t="str">
        <f>VLOOKUP(C801,'[2]Ensaio 1'!$A$2:$E$28,5,FALSE)</f>
        <v>Control</v>
      </c>
      <c r="B801">
        <f>VLOOKUP(C801,'[2]Ensaio 1'!$A$2:$F$28,6,FALSE)</f>
        <v>4</v>
      </c>
      <c r="C801" s="36">
        <v>960000003688521</v>
      </c>
      <c r="D801" s="36">
        <v>960000003688521</v>
      </c>
      <c r="E801" s="1">
        <f t="shared" si="12"/>
        <v>44975</v>
      </c>
      <c r="F801" s="51">
        <v>44975.5808217593</v>
      </c>
      <c r="G801" s="51">
        <v>44975.585879629602</v>
      </c>
      <c r="H801" s="52">
        <v>3.634259259259E-3</v>
      </c>
      <c r="I801">
        <v>13.939722061157227</v>
      </c>
      <c r="J801">
        <v>8801.8169598879795</v>
      </c>
      <c r="K801">
        <v>108.068659214506</v>
      </c>
    </row>
    <row r="802" spans="1:11" x14ac:dyDescent="0.25">
      <c r="A802" t="str">
        <f>VLOOKUP(C802,'[2]Ensaio 1'!$A$2:$E$28,5,FALSE)</f>
        <v>Control</v>
      </c>
      <c r="B802">
        <f>VLOOKUP(C802,'[2]Ensaio 1'!$A$2:$F$28,6,FALSE)</f>
        <v>4</v>
      </c>
      <c r="C802" s="36">
        <v>960000003516091</v>
      </c>
      <c r="D802" s="36">
        <v>960000003516091</v>
      </c>
      <c r="E802" s="1">
        <f t="shared" si="12"/>
        <v>44975</v>
      </c>
      <c r="F802" s="51">
        <v>44975.607916666697</v>
      </c>
      <c r="G802" s="51">
        <v>44975.616655092599</v>
      </c>
      <c r="H802" s="52">
        <v>6.0879629629629999E-3</v>
      </c>
      <c r="I802">
        <v>14.590000152587891</v>
      </c>
      <c r="J802">
        <v>8441.1707667635801</v>
      </c>
      <c r="K802">
        <v>110.751958960297</v>
      </c>
    </row>
    <row r="803" spans="1:11" x14ac:dyDescent="0.25">
      <c r="A803" t="str">
        <f>VLOOKUP(C803,'[2]Ensaio 1'!$A$2:$E$28,5,FALSE)</f>
        <v>Control</v>
      </c>
      <c r="B803">
        <f>VLOOKUP(C803,'[2]Ensaio 1'!$A$2:$F$28,6,FALSE)</f>
        <v>4</v>
      </c>
      <c r="C803" s="36">
        <v>960000003687554</v>
      </c>
      <c r="D803" s="36">
        <v>960000003687554</v>
      </c>
      <c r="E803" s="1">
        <f t="shared" si="12"/>
        <v>44975</v>
      </c>
      <c r="F803" s="51">
        <v>44975.628611111097</v>
      </c>
      <c r="G803" s="51">
        <v>44975.632245370398</v>
      </c>
      <c r="H803" s="52">
        <v>3.1481481481479999E-3</v>
      </c>
      <c r="I803">
        <v>15.086667060852051</v>
      </c>
      <c r="J803">
        <v>8484.8541825713291</v>
      </c>
      <c r="K803">
        <v>89.421542762654894</v>
      </c>
    </row>
    <row r="804" spans="1:11" x14ac:dyDescent="0.25">
      <c r="A804" t="str">
        <f>VLOOKUP(C804,'[2]Ensaio 1'!$A$2:$E$28,5,FALSE)</f>
        <v>Control</v>
      </c>
      <c r="B804">
        <f>VLOOKUP(C804,'[2]Ensaio 1'!$A$2:$F$28,6,FALSE)</f>
        <v>4</v>
      </c>
      <c r="C804" s="36">
        <v>960000003599578</v>
      </c>
      <c r="D804" s="36">
        <v>960000003599578</v>
      </c>
      <c r="E804" s="1">
        <f t="shared" si="12"/>
        <v>44975</v>
      </c>
      <c r="F804" s="51">
        <v>44975.651770833298</v>
      </c>
      <c r="G804" s="51">
        <v>44975.654930555596</v>
      </c>
      <c r="H804" s="52">
        <v>3.1134259259259999E-3</v>
      </c>
      <c r="I804">
        <v>15.642499923706055</v>
      </c>
      <c r="J804">
        <v>8728.8018459129198</v>
      </c>
      <c r="K804">
        <v>91.984829958946193</v>
      </c>
    </row>
    <row r="805" spans="1:11" x14ac:dyDescent="0.25">
      <c r="A805" t="str">
        <f>VLOOKUP(C805,'[2]Ensaio 1'!$A$2:$E$28,5,FALSE)</f>
        <v>Control</v>
      </c>
      <c r="B805">
        <f>VLOOKUP(C805,'[2]Ensaio 1'!$A$2:$F$28,6,FALSE)</f>
        <v>4</v>
      </c>
      <c r="C805" s="36">
        <v>960000003687554</v>
      </c>
      <c r="D805" s="36">
        <v>960000003687554</v>
      </c>
      <c r="E805" s="1">
        <f t="shared" si="12"/>
        <v>44975</v>
      </c>
      <c r="F805" s="51">
        <v>44975.9225462963</v>
      </c>
      <c r="G805" s="51">
        <v>44975.925972222198</v>
      </c>
      <c r="H805" s="52">
        <v>3.1481481481479999E-3</v>
      </c>
      <c r="I805">
        <v>22.141111373901367</v>
      </c>
      <c r="J805">
        <v>9262.4303249089207</v>
      </c>
      <c r="K805">
        <v>106.117708573935</v>
      </c>
    </row>
    <row r="806" spans="1:11" x14ac:dyDescent="0.25">
      <c r="A806" t="str">
        <f>VLOOKUP(C806,'[2]Ensaio 1'!$A$2:$E$28,5,FALSE)</f>
        <v>Control</v>
      </c>
      <c r="B806">
        <f>VLOOKUP(C806,'[2]Ensaio 1'!$A$2:$F$28,6,FALSE)</f>
        <v>4</v>
      </c>
      <c r="C806" s="36">
        <v>960000003599578</v>
      </c>
      <c r="D806" s="36">
        <v>960000003599578</v>
      </c>
      <c r="E806" s="1">
        <f t="shared" si="12"/>
        <v>44975</v>
      </c>
      <c r="F806" s="51">
        <v>44975.929571759298</v>
      </c>
      <c r="G806" s="51">
        <v>44975.932511574101</v>
      </c>
      <c r="H806" s="52">
        <v>2.905092592593E-3</v>
      </c>
      <c r="I806">
        <v>22.309722900390625</v>
      </c>
      <c r="J806">
        <v>10503.541167769001</v>
      </c>
      <c r="K806">
        <v>124.643948416808</v>
      </c>
    </row>
    <row r="807" spans="1:11" x14ac:dyDescent="0.25">
      <c r="A807" t="str">
        <f>VLOOKUP(C807,'[2]Ensaio 1'!$A$2:$E$28,5,FALSE)</f>
        <v>Control</v>
      </c>
      <c r="B807">
        <f>VLOOKUP(C807,'[2]Ensaio 1'!$A$2:$F$28,6,FALSE)</f>
        <v>4</v>
      </c>
      <c r="C807" s="36">
        <v>960000003516091</v>
      </c>
      <c r="D807" s="36">
        <v>960000003516091</v>
      </c>
      <c r="E807" s="1">
        <f t="shared" si="12"/>
        <v>44975</v>
      </c>
      <c r="F807" s="51">
        <v>44975.9377662037</v>
      </c>
      <c r="G807" s="51">
        <v>44975.942997685197</v>
      </c>
      <c r="H807" s="52">
        <v>3.9120370370370004E-3</v>
      </c>
      <c r="I807">
        <v>22.506389617919922</v>
      </c>
      <c r="J807">
        <v>8314.9918212832908</v>
      </c>
      <c r="K807">
        <v>130.052729568796</v>
      </c>
    </row>
    <row r="808" spans="1:11" x14ac:dyDescent="0.25">
      <c r="A808" t="str">
        <f>VLOOKUP(C808,'[2]Ensaio 1'!$A$2:$E$28,5,FALSE)</f>
        <v>Control</v>
      </c>
      <c r="B808">
        <f>VLOOKUP(C808,'[2]Ensaio 1'!$A$2:$F$28,6,FALSE)</f>
        <v>4</v>
      </c>
      <c r="C808" s="36">
        <v>960000003688521</v>
      </c>
      <c r="D808" s="36">
        <v>960000003688521</v>
      </c>
      <c r="E808" s="1">
        <f t="shared" si="12"/>
        <v>44975</v>
      </c>
      <c r="F808" s="51">
        <v>44975.955428240697</v>
      </c>
      <c r="G808" s="51">
        <v>44975.959907407399</v>
      </c>
      <c r="H808" s="52">
        <v>2.3611111111110001E-3</v>
      </c>
      <c r="I808">
        <v>22.930276870727539</v>
      </c>
      <c r="J808">
        <v>8794.4664096765191</v>
      </c>
      <c r="K808">
        <v>79.962580685629803</v>
      </c>
    </row>
    <row r="809" spans="1:11" x14ac:dyDescent="0.25">
      <c r="A809" t="str">
        <f>VLOOKUP(C809,'[2]Ensaio 1'!$A$2:$E$28,5,FALSE)</f>
        <v>Control</v>
      </c>
      <c r="B809">
        <f>VLOOKUP(C809,'[2]Ensaio 1'!$A$2:$F$28,6,FALSE)</f>
        <v>4</v>
      </c>
      <c r="C809" s="36">
        <v>960000003516091</v>
      </c>
      <c r="D809" s="36">
        <v>960000003516091</v>
      </c>
      <c r="E809" s="1">
        <f t="shared" si="12"/>
        <v>44976</v>
      </c>
      <c r="F809" s="51">
        <v>44976.028148148202</v>
      </c>
      <c r="G809" s="51">
        <v>44976.034317129597</v>
      </c>
      <c r="H809" s="52">
        <v>4.6412037037039996E-3</v>
      </c>
      <c r="I809">
        <v>0.67555552721023604</v>
      </c>
      <c r="J809">
        <v>8060.5096017310598</v>
      </c>
      <c r="K809">
        <v>83.8109945582748</v>
      </c>
    </row>
    <row r="810" spans="1:11" x14ac:dyDescent="0.25">
      <c r="A810" t="str">
        <f>VLOOKUP(C810,'[2]Ensaio 1'!$A$2:$E$28,5,FALSE)</f>
        <v>Control</v>
      </c>
      <c r="B810">
        <f>VLOOKUP(C810,'[2]Ensaio 1'!$A$2:$F$28,6,FALSE)</f>
        <v>4</v>
      </c>
      <c r="C810" s="36">
        <v>960000003688521</v>
      </c>
      <c r="D810" s="36">
        <v>960000003688521</v>
      </c>
      <c r="E810" s="1">
        <f t="shared" si="12"/>
        <v>44976</v>
      </c>
      <c r="F810" s="51">
        <v>44976.044687499998</v>
      </c>
      <c r="G810" s="51">
        <v>44976.0484953704</v>
      </c>
      <c r="H810" s="52">
        <v>3.6458333333329999E-3</v>
      </c>
      <c r="I810">
        <v>1.0724999904632571</v>
      </c>
      <c r="J810">
        <v>8790.0751317489794</v>
      </c>
      <c r="K810">
        <v>102.104350507307</v>
      </c>
    </row>
    <row r="811" spans="1:11" x14ac:dyDescent="0.25">
      <c r="A811" t="str">
        <f>VLOOKUP(C811,'[2]Ensaio 1'!$A$2:$E$28,5,FALSE)</f>
        <v>Control</v>
      </c>
      <c r="B811">
        <f>VLOOKUP(C811,'[2]Ensaio 1'!$A$2:$F$28,6,FALSE)</f>
        <v>4</v>
      </c>
      <c r="C811" s="36">
        <v>960000003599578</v>
      </c>
      <c r="D811" s="36">
        <v>960000003599578</v>
      </c>
      <c r="E811" s="1">
        <f t="shared" si="12"/>
        <v>44976</v>
      </c>
      <c r="F811" s="51">
        <v>44976.104490740698</v>
      </c>
      <c r="G811" s="51">
        <v>44976.107592592598</v>
      </c>
      <c r="H811" s="52">
        <v>3.0092592592589999E-3</v>
      </c>
      <c r="I811">
        <v>2.5077776908874512</v>
      </c>
      <c r="J811">
        <v>11199.696264001301</v>
      </c>
      <c r="K811">
        <v>144.01634549504899</v>
      </c>
    </row>
    <row r="812" spans="1:11" x14ac:dyDescent="0.25">
      <c r="A812" t="str">
        <f>VLOOKUP(C812,'[2]Ensaio 1'!$A$2:$E$28,5,FALSE)</f>
        <v>Control</v>
      </c>
      <c r="B812">
        <f>VLOOKUP(C812,'[2]Ensaio 1'!$A$2:$F$28,6,FALSE)</f>
        <v>4</v>
      </c>
      <c r="C812" s="36">
        <v>960000003516091</v>
      </c>
      <c r="D812" s="36">
        <v>960000003516091</v>
      </c>
      <c r="E812" s="1">
        <f t="shared" si="12"/>
        <v>44976</v>
      </c>
      <c r="F812" s="51">
        <v>44976.292974536998</v>
      </c>
      <c r="G812" s="51">
        <v>44976.298518518503</v>
      </c>
      <c r="H812" s="52">
        <v>4.409722222222E-3</v>
      </c>
      <c r="I812">
        <v>7.0313887596130371</v>
      </c>
      <c r="J812">
        <v>6482.5528936176197</v>
      </c>
      <c r="K812">
        <v>64.658364127217695</v>
      </c>
    </row>
    <row r="813" spans="1:11" x14ac:dyDescent="0.25">
      <c r="A813" t="str">
        <f>VLOOKUP(C813,'[2]Ensaio 1'!$A$2:$E$28,5,FALSE)</f>
        <v>Control</v>
      </c>
      <c r="B813">
        <f>VLOOKUP(C813,'[2]Ensaio 1'!$A$2:$F$28,6,FALSE)</f>
        <v>4</v>
      </c>
      <c r="C813" s="36">
        <v>960000003599578</v>
      </c>
      <c r="D813" s="36">
        <v>960000003599578</v>
      </c>
      <c r="E813" s="1">
        <f t="shared" si="12"/>
        <v>44976</v>
      </c>
      <c r="F813" s="51">
        <v>44976.319293981498</v>
      </c>
      <c r="G813" s="51">
        <v>44976.322210648097</v>
      </c>
      <c r="H813" s="52">
        <v>2.604166666667E-3</v>
      </c>
      <c r="I813">
        <v>7.663055419921875</v>
      </c>
      <c r="J813">
        <v>8454.15091677694</v>
      </c>
      <c r="K813">
        <v>61.765317218839598</v>
      </c>
    </row>
    <row r="814" spans="1:11" x14ac:dyDescent="0.25">
      <c r="A814" t="str">
        <f>VLOOKUP(C814,'[2]Ensaio 1'!$A$2:$E$28,5,FALSE)</f>
        <v>Control</v>
      </c>
      <c r="B814">
        <f>VLOOKUP(C814,'[2]Ensaio 1'!$A$2:$F$28,6,FALSE)</f>
        <v>4</v>
      </c>
      <c r="C814" s="36">
        <v>960000003688521</v>
      </c>
      <c r="D814" s="36">
        <v>960000003688521</v>
      </c>
      <c r="E814" s="1">
        <f t="shared" si="12"/>
        <v>44976</v>
      </c>
      <c r="F814" s="51">
        <v>44976.331701388903</v>
      </c>
      <c r="G814" s="51">
        <v>44976.335138888899</v>
      </c>
      <c r="H814" s="52">
        <v>3.1828703703699998E-3</v>
      </c>
      <c r="I814">
        <v>7.9608335494995117</v>
      </c>
      <c r="J814">
        <v>8559.6632441757392</v>
      </c>
      <c r="K814">
        <v>98.246338562119007</v>
      </c>
    </row>
    <row r="815" spans="1:11" x14ac:dyDescent="0.25">
      <c r="A815" t="str">
        <f>VLOOKUP(C815,'[2]Ensaio 1'!$A$2:$E$28,5,FALSE)</f>
        <v>Control</v>
      </c>
      <c r="B815">
        <f>VLOOKUP(C815,'[2]Ensaio 1'!$A$2:$F$28,6,FALSE)</f>
        <v>4</v>
      </c>
      <c r="C815" s="36">
        <v>960000003687554</v>
      </c>
      <c r="D815" s="36">
        <v>960000003687554</v>
      </c>
      <c r="E815" s="1">
        <f t="shared" si="12"/>
        <v>44976</v>
      </c>
      <c r="F815" s="51">
        <v>44976.397847222201</v>
      </c>
      <c r="G815" s="51">
        <v>44976.401689814797</v>
      </c>
      <c r="H815" s="52">
        <v>2.7777777777779999E-3</v>
      </c>
      <c r="I815">
        <v>9.5483331680297852</v>
      </c>
      <c r="J815">
        <v>9361.9639114189904</v>
      </c>
      <c r="K815">
        <v>121.900109438987</v>
      </c>
    </row>
    <row r="816" spans="1:11" x14ac:dyDescent="0.25">
      <c r="A816" t="str">
        <f>VLOOKUP(C816,'[2]Ensaio 1'!$A$2:$E$28,5,FALSE)</f>
        <v>Control</v>
      </c>
      <c r="B816">
        <f>VLOOKUP(C816,'[2]Ensaio 1'!$A$2:$F$28,6,FALSE)</f>
        <v>4</v>
      </c>
      <c r="C816" s="36">
        <v>960000003516091</v>
      </c>
      <c r="D816" s="36">
        <v>960000003516091</v>
      </c>
      <c r="E816" s="1">
        <f t="shared" si="12"/>
        <v>44976</v>
      </c>
      <c r="F816" s="51">
        <v>44976.528113425898</v>
      </c>
      <c r="G816" s="51">
        <v>44976.533715277801</v>
      </c>
      <c r="H816" s="52">
        <v>4.4328703703699996E-3</v>
      </c>
      <c r="I816">
        <v>12.674722671508789</v>
      </c>
      <c r="J816">
        <v>6407.0775300003897</v>
      </c>
      <c r="K816">
        <v>93.979078894012204</v>
      </c>
    </row>
    <row r="817" spans="1:11" x14ac:dyDescent="0.25">
      <c r="A817" t="str">
        <f>VLOOKUP(C817,'[2]Ensaio 1'!$A$2:$E$28,5,FALSE)</f>
        <v>Control</v>
      </c>
      <c r="B817">
        <f>VLOOKUP(C817,'[2]Ensaio 1'!$A$2:$F$28,6,FALSE)</f>
        <v>4</v>
      </c>
      <c r="C817" s="36">
        <v>960000003599578</v>
      </c>
      <c r="D817" s="36">
        <v>960000003599578</v>
      </c>
      <c r="E817" s="1">
        <f t="shared" si="12"/>
        <v>44976</v>
      </c>
      <c r="F817" s="51">
        <v>44976.536909722199</v>
      </c>
      <c r="G817" s="51">
        <v>44976.5402314815</v>
      </c>
      <c r="H817" s="52">
        <v>2.9976851851850001E-3</v>
      </c>
      <c r="I817">
        <v>12.885833740234375</v>
      </c>
      <c r="J817">
        <v>9798.4394013801102</v>
      </c>
      <c r="K817">
        <v>127.97284272420001</v>
      </c>
    </row>
    <row r="818" spans="1:11" x14ac:dyDescent="0.25">
      <c r="A818" t="str">
        <f>VLOOKUP(C818,'[2]Ensaio 1'!$A$2:$E$28,5,FALSE)</f>
        <v>Control</v>
      </c>
      <c r="B818">
        <f>VLOOKUP(C818,'[2]Ensaio 1'!$A$2:$F$28,6,FALSE)</f>
        <v>4</v>
      </c>
      <c r="C818" s="36">
        <v>960000003688521</v>
      </c>
      <c r="D818" s="36">
        <v>960000003688521</v>
      </c>
      <c r="E818" s="1">
        <f t="shared" si="12"/>
        <v>44976</v>
      </c>
      <c r="F818" s="51">
        <v>44976.649050925902</v>
      </c>
      <c r="G818" s="51">
        <v>44976.652673611097</v>
      </c>
      <c r="H818" s="52">
        <v>2.233796296296E-3</v>
      </c>
      <c r="I818">
        <v>15.577221870422363</v>
      </c>
      <c r="J818">
        <v>8205.3581431259699</v>
      </c>
      <c r="K818">
        <v>47.808642541092901</v>
      </c>
    </row>
    <row r="819" spans="1:11" x14ac:dyDescent="0.25">
      <c r="A819" t="str">
        <f>VLOOKUP(C819,'[2]Ensaio 1'!$A$2:$E$28,5,FALSE)</f>
        <v>Control</v>
      </c>
      <c r="B819">
        <f>VLOOKUP(C819,'[2]Ensaio 1'!$A$2:$F$28,6,FALSE)</f>
        <v>4</v>
      </c>
      <c r="C819" s="36">
        <v>960000003687554</v>
      </c>
      <c r="D819" s="36">
        <v>960000003687554</v>
      </c>
      <c r="E819" s="1">
        <f t="shared" si="12"/>
        <v>44976</v>
      </c>
      <c r="F819" s="51">
        <v>44976.663333333301</v>
      </c>
      <c r="G819" s="51">
        <v>44976.666689814803</v>
      </c>
      <c r="H819" s="52">
        <v>2.731481481481E-3</v>
      </c>
      <c r="I819">
        <v>15.920000076293945</v>
      </c>
      <c r="J819">
        <v>10647.9776212613</v>
      </c>
      <c r="K819">
        <v>136.460865871594</v>
      </c>
    </row>
    <row r="820" spans="1:11" x14ac:dyDescent="0.25">
      <c r="A820" t="str">
        <f>VLOOKUP(C820,'[2]Ensaio 1'!$A$2:$E$28,5,FALSE)</f>
        <v>Control</v>
      </c>
      <c r="B820">
        <f>VLOOKUP(C820,'[2]Ensaio 1'!$A$2:$F$28,6,FALSE)</f>
        <v>4</v>
      </c>
      <c r="C820" s="36">
        <v>960000003688521</v>
      </c>
      <c r="D820" s="36">
        <v>960000003688521</v>
      </c>
      <c r="E820" s="1">
        <f t="shared" si="12"/>
        <v>44976</v>
      </c>
      <c r="F820" s="51">
        <v>44976.861643518503</v>
      </c>
      <c r="G820" s="51">
        <v>44976.864247685196</v>
      </c>
      <c r="H820" s="52">
        <v>2.337962962963E-3</v>
      </c>
      <c r="I820">
        <v>20.679445266723633</v>
      </c>
      <c r="J820">
        <v>10150.726275204201</v>
      </c>
      <c r="K820">
        <v>167.89221656762001</v>
      </c>
    </row>
    <row r="821" spans="1:11" x14ac:dyDescent="0.25">
      <c r="A821" t="str">
        <f>VLOOKUP(C821,'[2]Ensaio 1'!$A$2:$E$28,5,FALSE)</f>
        <v>Control</v>
      </c>
      <c r="B821">
        <f>VLOOKUP(C821,'[2]Ensaio 1'!$A$2:$F$28,6,FALSE)</f>
        <v>4</v>
      </c>
      <c r="C821" s="36">
        <v>960000003687554</v>
      </c>
      <c r="D821" s="36">
        <v>960000003687554</v>
      </c>
      <c r="E821" s="1">
        <f t="shared" si="12"/>
        <v>44976</v>
      </c>
      <c r="F821" s="51">
        <v>44976.899907407402</v>
      </c>
      <c r="G821" s="51">
        <v>44976.903217592597</v>
      </c>
      <c r="H821" s="52">
        <v>3.1134259259259999E-3</v>
      </c>
      <c r="I821">
        <v>21.5977783203125</v>
      </c>
      <c r="J821">
        <v>10752.182877904999</v>
      </c>
      <c r="K821">
        <v>132.98839049649499</v>
      </c>
    </row>
    <row r="822" spans="1:11" x14ac:dyDescent="0.25">
      <c r="A822" t="str">
        <f>VLOOKUP(C822,'[2]Ensaio 1'!$A$2:$E$28,5,FALSE)</f>
        <v>Control</v>
      </c>
      <c r="B822">
        <f>VLOOKUP(C822,'[2]Ensaio 1'!$A$2:$F$28,6,FALSE)</f>
        <v>4</v>
      </c>
      <c r="C822" s="36">
        <v>960000003599578</v>
      </c>
      <c r="D822" s="36">
        <v>960000003599578</v>
      </c>
      <c r="E822" s="1">
        <f t="shared" si="12"/>
        <v>44976</v>
      </c>
      <c r="F822" s="51">
        <v>44976.917824074102</v>
      </c>
      <c r="G822" s="51">
        <v>44976.920844907399</v>
      </c>
      <c r="H822" s="52">
        <v>2.9629629629630001E-3</v>
      </c>
      <c r="I822">
        <v>22.027778625488281</v>
      </c>
      <c r="J822">
        <v>11428.821342028299</v>
      </c>
      <c r="K822">
        <v>150.70015508294699</v>
      </c>
    </row>
    <row r="823" spans="1:11" x14ac:dyDescent="0.25">
      <c r="A823" t="str">
        <f>VLOOKUP(C823,'[2]Ensaio 1'!$A$2:$E$28,5,FALSE)</f>
        <v>Control</v>
      </c>
      <c r="B823">
        <f>VLOOKUP(C823,'[2]Ensaio 1'!$A$2:$F$28,6,FALSE)</f>
        <v>4</v>
      </c>
      <c r="C823" s="36">
        <v>960000003599578</v>
      </c>
      <c r="D823" s="36">
        <v>960000003599578</v>
      </c>
      <c r="E823" s="1">
        <f t="shared" si="12"/>
        <v>44977</v>
      </c>
      <c r="F823" s="51">
        <v>44977.004259259302</v>
      </c>
      <c r="G823" s="51">
        <v>44977.007962962998</v>
      </c>
      <c r="H823" s="52">
        <v>3.5185185185189999E-3</v>
      </c>
      <c r="I823">
        <v>0.102222219109535</v>
      </c>
      <c r="J823">
        <v>9981.3083842358592</v>
      </c>
      <c r="K823">
        <v>172.63012552606401</v>
      </c>
    </row>
    <row r="824" spans="1:11" x14ac:dyDescent="0.25">
      <c r="A824" t="str">
        <f>VLOOKUP(C824,'[2]Ensaio 1'!$A$2:$E$28,5,FALSE)</f>
        <v>Control</v>
      </c>
      <c r="B824">
        <f>VLOOKUP(C824,'[2]Ensaio 1'!$A$2:$F$28,6,FALSE)</f>
        <v>4</v>
      </c>
      <c r="C824" s="36">
        <v>960000003687554</v>
      </c>
      <c r="D824" s="36">
        <v>960000003687554</v>
      </c>
      <c r="E824" s="1">
        <f t="shared" si="12"/>
        <v>44977</v>
      </c>
      <c r="F824" s="51">
        <v>44977.021944444401</v>
      </c>
      <c r="G824" s="51">
        <v>44977.025902777801</v>
      </c>
      <c r="H824" s="52">
        <v>3.0439814814809999E-3</v>
      </c>
      <c r="I824">
        <v>0.52666664123535201</v>
      </c>
      <c r="J824">
        <v>10089.1684863878</v>
      </c>
      <c r="K824">
        <v>96.738308430356895</v>
      </c>
    </row>
    <row r="825" spans="1:11" x14ac:dyDescent="0.25">
      <c r="A825" t="str">
        <f>VLOOKUP(C825,'[2]Ensaio 1'!$A$2:$E$28,5,FALSE)</f>
        <v>Control</v>
      </c>
      <c r="B825">
        <f>VLOOKUP(C825,'[2]Ensaio 1'!$A$2:$F$28,6,FALSE)</f>
        <v>4</v>
      </c>
      <c r="C825" s="36">
        <v>960000003688521</v>
      </c>
      <c r="D825" s="36">
        <v>960000003688521</v>
      </c>
      <c r="E825" s="1">
        <f t="shared" si="12"/>
        <v>44977</v>
      </c>
      <c r="F825" s="51">
        <v>44977.029016203698</v>
      </c>
      <c r="G825" s="51">
        <v>44977.031168981499</v>
      </c>
      <c r="H825" s="52">
        <v>1.4120370370370001E-3</v>
      </c>
      <c r="I825">
        <v>0.696388900279999</v>
      </c>
      <c r="J825">
        <v>10022.135876177699</v>
      </c>
      <c r="K825">
        <v>9.1386685944344599</v>
      </c>
    </row>
    <row r="826" spans="1:11" x14ac:dyDescent="0.25">
      <c r="A826" t="str">
        <f>VLOOKUP(C826,'[2]Ensaio 1'!$A$2:$E$28,5,FALSE)</f>
        <v>Control</v>
      </c>
      <c r="B826">
        <f>VLOOKUP(C826,'[2]Ensaio 1'!$A$2:$F$28,6,FALSE)</f>
        <v>4</v>
      </c>
      <c r="C826" s="36">
        <v>960000003516091</v>
      </c>
      <c r="D826" s="36">
        <v>960000003516091</v>
      </c>
      <c r="E826" s="1">
        <f t="shared" si="12"/>
        <v>44977</v>
      </c>
      <c r="F826" s="51">
        <v>44977.049606481502</v>
      </c>
      <c r="G826" s="51">
        <v>44977.053912037001</v>
      </c>
      <c r="H826" s="52">
        <v>3.1597222222220001E-3</v>
      </c>
      <c r="I826">
        <v>1.1905555725097661</v>
      </c>
      <c r="J826">
        <v>7654.6056866776598</v>
      </c>
      <c r="K826">
        <v>101.958589379269</v>
      </c>
    </row>
    <row r="827" spans="1:11" x14ac:dyDescent="0.25">
      <c r="A827" t="str">
        <f>VLOOKUP(C827,'[2]Ensaio 1'!$A$2:$E$28,5,FALSE)</f>
        <v>Control</v>
      </c>
      <c r="B827">
        <f>VLOOKUP(C827,'[2]Ensaio 1'!$A$2:$F$28,6,FALSE)</f>
        <v>4</v>
      </c>
      <c r="C827" s="36">
        <v>960000003599578</v>
      </c>
      <c r="D827" s="36">
        <v>960000003599578</v>
      </c>
      <c r="E827" s="1">
        <f t="shared" si="12"/>
        <v>44977</v>
      </c>
      <c r="F827" s="51">
        <v>44977.054155092599</v>
      </c>
      <c r="G827" s="51">
        <v>44977.056145833303</v>
      </c>
      <c r="H827" s="52">
        <v>1.481481481481E-3</v>
      </c>
      <c r="I827">
        <v>1.2997221946716311</v>
      </c>
      <c r="J827">
        <v>8098.1614618861404</v>
      </c>
      <c r="K827">
        <v>100.11870503493</v>
      </c>
    </row>
    <row r="828" spans="1:11" x14ac:dyDescent="0.25">
      <c r="A828" t="str">
        <f>VLOOKUP(C828,'[2]Ensaio 1'!$A$2:$E$28,5,FALSE)</f>
        <v>Control</v>
      </c>
      <c r="B828">
        <f>VLOOKUP(C828,'[2]Ensaio 1'!$A$2:$F$28,6,FALSE)</f>
        <v>4</v>
      </c>
      <c r="C828" s="36">
        <v>960000003688521</v>
      </c>
      <c r="D828" s="36">
        <v>960000003688521</v>
      </c>
      <c r="E828" s="1">
        <f t="shared" si="12"/>
        <v>44977</v>
      </c>
      <c r="F828" s="51">
        <v>44977.256493055596</v>
      </c>
      <c r="G828" s="51">
        <v>44977.261585648099</v>
      </c>
      <c r="H828" s="52">
        <v>2.673611111111E-3</v>
      </c>
      <c r="I828">
        <v>6.1558332443237296</v>
      </c>
      <c r="J828">
        <v>7933.7291664057702</v>
      </c>
      <c r="K828">
        <v>63.815071013776503</v>
      </c>
    </row>
    <row r="829" spans="1:11" x14ac:dyDescent="0.25">
      <c r="A829" t="str">
        <f>VLOOKUP(C829,'[2]Ensaio 1'!$A$2:$E$28,5,FALSE)</f>
        <v>Control</v>
      </c>
      <c r="B829">
        <f>VLOOKUP(C829,'[2]Ensaio 1'!$A$2:$F$28,6,FALSE)</f>
        <v>4</v>
      </c>
      <c r="C829" s="36">
        <v>960000003516091</v>
      </c>
      <c r="D829" s="36">
        <v>960000003516091</v>
      </c>
      <c r="E829" s="1">
        <f t="shared" si="12"/>
        <v>44977</v>
      </c>
      <c r="F829" s="51">
        <v>44977.297037037002</v>
      </c>
      <c r="G829" s="51">
        <v>44977.304363425901</v>
      </c>
      <c r="H829" s="52">
        <v>4.3981481481480001E-3</v>
      </c>
      <c r="I829">
        <v>7.1288890838623047</v>
      </c>
      <c r="J829">
        <v>7556.2035717989702</v>
      </c>
      <c r="K829">
        <v>82.444476443329606</v>
      </c>
    </row>
    <row r="830" spans="1:11" x14ac:dyDescent="0.25">
      <c r="A830" t="str">
        <f>VLOOKUP(C830,'[2]Ensaio 1'!$A$2:$E$28,5,FALSE)</f>
        <v>Control</v>
      </c>
      <c r="B830">
        <f>VLOOKUP(C830,'[2]Ensaio 1'!$A$2:$F$28,6,FALSE)</f>
        <v>4</v>
      </c>
      <c r="C830" s="36">
        <v>960000003599578</v>
      </c>
      <c r="D830" s="36">
        <v>960000003599578</v>
      </c>
      <c r="E830" s="1">
        <f t="shared" si="12"/>
        <v>44977</v>
      </c>
      <c r="F830" s="51">
        <v>44977.3059027778</v>
      </c>
      <c r="G830" s="51">
        <v>44977.309282407397</v>
      </c>
      <c r="H830" s="52">
        <v>3.2638888888890001E-3</v>
      </c>
      <c r="I830">
        <v>7.3416666984558114</v>
      </c>
      <c r="J830">
        <v>7828.45544395653</v>
      </c>
      <c r="K830">
        <v>116.97313082807401</v>
      </c>
    </row>
    <row r="831" spans="1:11" x14ac:dyDescent="0.25">
      <c r="A831" t="str">
        <f>VLOOKUP(C831,'[2]Ensaio 1'!$A$2:$E$28,5,FALSE)</f>
        <v>Control</v>
      </c>
      <c r="B831">
        <f>VLOOKUP(C831,'[2]Ensaio 1'!$A$2:$F$28,6,FALSE)</f>
        <v>4</v>
      </c>
      <c r="C831" s="36">
        <v>960000003687554</v>
      </c>
      <c r="D831" s="36">
        <v>960000003687554</v>
      </c>
      <c r="E831" s="1">
        <f t="shared" si="12"/>
        <v>44977</v>
      </c>
      <c r="F831" s="51">
        <v>44977.403449074103</v>
      </c>
      <c r="G831" s="51">
        <v>44977.406828703701</v>
      </c>
      <c r="H831" s="52">
        <v>3.1597222222220001E-3</v>
      </c>
      <c r="I831">
        <v>9.6827774047851563</v>
      </c>
      <c r="J831">
        <v>10027.9857740923</v>
      </c>
      <c r="K831">
        <v>133.53155864016199</v>
      </c>
    </row>
    <row r="832" spans="1:11" x14ac:dyDescent="0.25">
      <c r="A832" t="str">
        <f>VLOOKUP(C832,'[2]Ensaio 1'!$A$2:$E$28,5,FALSE)</f>
        <v>Control</v>
      </c>
      <c r="B832">
        <f>VLOOKUP(C832,'[2]Ensaio 1'!$A$2:$F$28,6,FALSE)</f>
        <v>4</v>
      </c>
      <c r="C832" s="36">
        <v>960000003599578</v>
      </c>
      <c r="D832" s="36">
        <v>960000003599578</v>
      </c>
      <c r="E832" s="1">
        <f t="shared" si="12"/>
        <v>44977</v>
      </c>
      <c r="F832" s="51">
        <v>44977.579837963</v>
      </c>
      <c r="G832" s="51">
        <v>44977.582974536999</v>
      </c>
      <c r="H832" s="52">
        <v>3.0439814814809999E-3</v>
      </c>
      <c r="I832">
        <v>13.916110992431641</v>
      </c>
      <c r="J832">
        <v>9541.0741108324801</v>
      </c>
      <c r="K832">
        <v>117.87310315517</v>
      </c>
    </row>
    <row r="833" spans="1:11" x14ac:dyDescent="0.25">
      <c r="A833" t="str">
        <f>VLOOKUP(C833,'[2]Ensaio 1'!$A$2:$E$28,5,FALSE)</f>
        <v>Control</v>
      </c>
      <c r="B833">
        <f>VLOOKUP(C833,'[2]Ensaio 1'!$A$2:$F$28,6,FALSE)</f>
        <v>4</v>
      </c>
      <c r="C833" s="36">
        <v>960000003516091</v>
      </c>
      <c r="D833" s="36">
        <v>960000003516091</v>
      </c>
      <c r="E833" s="1">
        <f t="shared" si="12"/>
        <v>44977</v>
      </c>
      <c r="F833" s="51">
        <v>44977.5878240741</v>
      </c>
      <c r="G833" s="51">
        <v>44977.592453703699</v>
      </c>
      <c r="H833" s="52">
        <v>2.9513888888889998E-3</v>
      </c>
      <c r="I833">
        <v>14.10777759552002</v>
      </c>
      <c r="J833">
        <v>7934.6196182915901</v>
      </c>
      <c r="K833">
        <v>102.05316762287799</v>
      </c>
    </row>
    <row r="834" spans="1:11" x14ac:dyDescent="0.25">
      <c r="A834" t="str">
        <f>VLOOKUP(C834,'[2]Ensaio 1'!$A$2:$E$28,5,FALSE)</f>
        <v>Control</v>
      </c>
      <c r="B834">
        <f>VLOOKUP(C834,'[2]Ensaio 1'!$A$2:$F$28,6,FALSE)</f>
        <v>4</v>
      </c>
      <c r="C834" s="36">
        <v>960000003688521</v>
      </c>
      <c r="D834" s="36">
        <v>960000003688521</v>
      </c>
      <c r="E834" s="1">
        <f t="shared" ref="E834:E897" si="13">ROUNDDOWN(LEFT(F834,10),0)</f>
        <v>44977</v>
      </c>
      <c r="F834" s="51">
        <v>44977.624583333301</v>
      </c>
      <c r="G834" s="51">
        <v>44977.627997685202</v>
      </c>
      <c r="H834" s="52">
        <v>2.5231481481480002E-3</v>
      </c>
      <c r="I834">
        <v>14.989999771118164</v>
      </c>
      <c r="J834">
        <v>8159.3281192459099</v>
      </c>
      <c r="K834">
        <v>58.723932259903599</v>
      </c>
    </row>
    <row r="835" spans="1:11" x14ac:dyDescent="0.25">
      <c r="A835" t="str">
        <f>VLOOKUP(C835,'[2]Ensaio 1'!$A$2:$E$28,5,FALSE)</f>
        <v>Control</v>
      </c>
      <c r="B835">
        <f>VLOOKUP(C835,'[2]Ensaio 1'!$A$2:$F$28,6,FALSE)</f>
        <v>4</v>
      </c>
      <c r="C835" s="36">
        <v>960000003687554</v>
      </c>
      <c r="D835" s="36">
        <v>960000003687554</v>
      </c>
      <c r="E835" s="1">
        <f t="shared" si="13"/>
        <v>44977</v>
      </c>
      <c r="F835" s="51">
        <v>44977.633449074099</v>
      </c>
      <c r="G835" s="51">
        <v>44977.637499999997</v>
      </c>
      <c r="H835" s="52">
        <v>1.886574074074E-3</v>
      </c>
      <c r="I835">
        <v>15.202777862548828</v>
      </c>
      <c r="J835">
        <v>10151.1185451281</v>
      </c>
      <c r="K835">
        <v>95.158506872039098</v>
      </c>
    </row>
    <row r="836" spans="1:11" x14ac:dyDescent="0.25">
      <c r="A836" t="str">
        <f>VLOOKUP(C836,'[2]Ensaio 1'!$A$2:$E$28,5,FALSE)</f>
        <v>Control</v>
      </c>
      <c r="B836">
        <f>VLOOKUP(C836,'[2]Ensaio 1'!$A$2:$F$28,6,FALSE)</f>
        <v>4</v>
      </c>
      <c r="C836" s="36">
        <v>960000003599578</v>
      </c>
      <c r="D836" s="36">
        <v>960000003599578</v>
      </c>
      <c r="E836" s="1">
        <f t="shared" si="13"/>
        <v>44977</v>
      </c>
      <c r="F836" s="51">
        <v>44977.638113425899</v>
      </c>
      <c r="G836" s="51">
        <v>44977.639571759297</v>
      </c>
      <c r="H836" s="52">
        <v>1.435185185185E-3</v>
      </c>
      <c r="I836">
        <v>15.314722061157227</v>
      </c>
      <c r="J836">
        <v>9586.0199916498696</v>
      </c>
      <c r="K836">
        <v>201.983275977067</v>
      </c>
    </row>
    <row r="837" spans="1:11" x14ac:dyDescent="0.25">
      <c r="A837" t="s">
        <v>0</v>
      </c>
      <c r="B837">
        <f>VLOOKUP(C837,'[2]Ensaio 1'!$A$2:$F$28,6,FALSE)</f>
        <v>5</v>
      </c>
      <c r="C837" s="36">
        <v>960000003784731</v>
      </c>
      <c r="D837" s="36">
        <v>960000003784731</v>
      </c>
      <c r="E837" s="1">
        <f t="shared" si="13"/>
        <v>44977</v>
      </c>
      <c r="F837" s="51">
        <v>44977.694571759297</v>
      </c>
      <c r="G837" s="51">
        <v>44977.697638888902</v>
      </c>
      <c r="H837" s="52">
        <v>1.93287037037E-3</v>
      </c>
      <c r="I837">
        <v>16.669721603393555</v>
      </c>
      <c r="J837">
        <v>10024.2414234554</v>
      </c>
      <c r="K837">
        <v>135.28352632641801</v>
      </c>
    </row>
    <row r="838" spans="1:11" x14ac:dyDescent="0.25">
      <c r="A838" t="s">
        <v>0</v>
      </c>
      <c r="B838">
        <f>VLOOKUP(C838,'[2]Ensaio 1'!$A$2:$F$28,6,FALSE)</f>
        <v>5</v>
      </c>
      <c r="C838" s="36">
        <v>960000003784722</v>
      </c>
      <c r="D838" s="36">
        <v>960000003784722</v>
      </c>
      <c r="E838" s="1">
        <f t="shared" si="13"/>
        <v>44977</v>
      </c>
      <c r="F838" s="51">
        <v>44977.698553240698</v>
      </c>
      <c r="G838" s="51">
        <v>44977.707106481503</v>
      </c>
      <c r="H838" s="52">
        <v>4.6412037037039996E-3</v>
      </c>
      <c r="I838">
        <v>16.765277862548828</v>
      </c>
      <c r="J838">
        <v>8813.0254319917494</v>
      </c>
      <c r="K838">
        <v>186.257931151854</v>
      </c>
    </row>
    <row r="839" spans="1:11" x14ac:dyDescent="0.25">
      <c r="A839" t="s">
        <v>0</v>
      </c>
      <c r="B839">
        <f>VLOOKUP(C839,'[2]Ensaio 1'!$A$2:$F$28,6,FALSE)</f>
        <v>5</v>
      </c>
      <c r="C839" s="36">
        <v>960000003784731</v>
      </c>
      <c r="D839" s="36">
        <v>960000003784731</v>
      </c>
      <c r="E839" s="1">
        <f t="shared" si="13"/>
        <v>44977</v>
      </c>
      <c r="F839" s="51">
        <v>44977.710381944402</v>
      </c>
      <c r="G839" s="51">
        <v>44977.713148148097</v>
      </c>
      <c r="H839" s="52">
        <v>2.7199074074070002E-3</v>
      </c>
      <c r="I839">
        <v>17.049165725708008</v>
      </c>
      <c r="J839">
        <v>8610.0126747968498</v>
      </c>
      <c r="K839">
        <v>215.411041463765</v>
      </c>
    </row>
    <row r="840" spans="1:11" x14ac:dyDescent="0.25">
      <c r="A840" t="s">
        <v>0</v>
      </c>
      <c r="B840">
        <f>VLOOKUP(C840,'[2]Ensaio 1'!$A$2:$F$28,6,FALSE)</f>
        <v>5</v>
      </c>
      <c r="C840" s="36">
        <v>960000003784699</v>
      </c>
      <c r="D840" s="36">
        <v>960000003784699</v>
      </c>
      <c r="E840" s="1">
        <f t="shared" si="13"/>
        <v>44977</v>
      </c>
      <c r="F840" s="51">
        <v>44977.724525463003</v>
      </c>
      <c r="G840" s="51">
        <v>44977.732916666697</v>
      </c>
      <c r="H840" s="52">
        <v>2.337962962963E-3</v>
      </c>
      <c r="I840">
        <v>17.38861083984375</v>
      </c>
      <c r="J840">
        <v>10713.032531983399</v>
      </c>
      <c r="K840">
        <v>115.675286034839</v>
      </c>
    </row>
    <row r="841" spans="1:11" x14ac:dyDescent="0.25">
      <c r="A841" t="s">
        <v>0</v>
      </c>
      <c r="B841">
        <f>VLOOKUP(C841,'[2]Ensaio 1'!$A$2:$F$28,6,FALSE)</f>
        <v>5</v>
      </c>
      <c r="C841" s="36">
        <v>960000003688554</v>
      </c>
      <c r="D841" s="36">
        <v>960000003688554</v>
      </c>
      <c r="E841" s="1">
        <f t="shared" si="13"/>
        <v>44977</v>
      </c>
      <c r="F841" s="51">
        <v>44977.738587963002</v>
      </c>
      <c r="G841" s="51">
        <v>44977.741666666698</v>
      </c>
      <c r="H841" s="52">
        <v>2.87037037037E-3</v>
      </c>
      <c r="I841">
        <v>17.726110458374023</v>
      </c>
      <c r="J841">
        <v>10957.0814413677</v>
      </c>
      <c r="K841">
        <v>273.41079799553899</v>
      </c>
    </row>
    <row r="842" spans="1:11" x14ac:dyDescent="0.25">
      <c r="A842" t="s">
        <v>0</v>
      </c>
      <c r="B842">
        <f>VLOOKUP(C842,'[2]Ensaio 1'!$A$2:$F$28,6,FALSE)</f>
        <v>5</v>
      </c>
      <c r="C842" s="36">
        <v>960000003784722</v>
      </c>
      <c r="D842" s="36">
        <v>960000003784722</v>
      </c>
      <c r="E842" s="1">
        <f t="shared" si="13"/>
        <v>44977</v>
      </c>
      <c r="F842" s="51">
        <v>44977.820752314801</v>
      </c>
      <c r="G842" s="51">
        <v>44977.822233796302</v>
      </c>
      <c r="H842" s="52">
        <v>1.4583333333329999E-3</v>
      </c>
      <c r="I842">
        <v>19.698055267333984</v>
      </c>
      <c r="J842">
        <v>8426.5126410757002</v>
      </c>
      <c r="K842">
        <v>147.350256674327</v>
      </c>
    </row>
    <row r="843" spans="1:11" x14ac:dyDescent="0.25">
      <c r="A843" t="s">
        <v>0</v>
      </c>
      <c r="B843">
        <f>VLOOKUP(C843,'[2]Ensaio 1'!$A$2:$F$28,6,FALSE)</f>
        <v>5</v>
      </c>
      <c r="C843" s="36">
        <v>960000003784731</v>
      </c>
      <c r="D843" s="36">
        <v>960000003784731</v>
      </c>
      <c r="E843" s="1">
        <f t="shared" si="13"/>
        <v>44977</v>
      </c>
      <c r="F843" s="51">
        <v>44977.887766203698</v>
      </c>
      <c r="G843" s="51">
        <v>44977.900613425903</v>
      </c>
      <c r="H843" s="52">
        <v>1.539351851852E-3</v>
      </c>
      <c r="I843">
        <v>21.306388854980469</v>
      </c>
      <c r="J843">
        <v>8512.0718000470097</v>
      </c>
      <c r="K843">
        <v>167.98424426747101</v>
      </c>
    </row>
    <row r="844" spans="1:11" x14ac:dyDescent="0.25">
      <c r="A844" t="s">
        <v>0</v>
      </c>
      <c r="B844">
        <f>VLOOKUP(C844,'[2]Ensaio 1'!$A$2:$F$28,6,FALSE)</f>
        <v>5</v>
      </c>
      <c r="C844" s="36">
        <v>960000003784731</v>
      </c>
      <c r="D844" s="36">
        <v>960000003784731</v>
      </c>
      <c r="E844" s="1">
        <f t="shared" si="13"/>
        <v>44977</v>
      </c>
      <c r="F844" s="51">
        <v>44977.955891203703</v>
      </c>
      <c r="G844" s="51">
        <v>44977.959791666697</v>
      </c>
      <c r="H844" s="52">
        <v>3.7962962962960001E-3</v>
      </c>
      <c r="I844">
        <v>22.941389083862305</v>
      </c>
      <c r="J844">
        <v>9089.0490901645499</v>
      </c>
      <c r="K844">
        <v>183.184263620065</v>
      </c>
    </row>
    <row r="845" spans="1:11" x14ac:dyDescent="0.25">
      <c r="A845" t="s">
        <v>0</v>
      </c>
      <c r="B845">
        <f>VLOOKUP(C845,'[2]Ensaio 1'!$A$2:$F$28,6,FALSE)</f>
        <v>5</v>
      </c>
      <c r="C845" s="36">
        <v>960000003784731</v>
      </c>
      <c r="D845" s="36">
        <v>960000003784731</v>
      </c>
      <c r="E845" s="1">
        <f t="shared" si="13"/>
        <v>44978</v>
      </c>
      <c r="F845" s="51">
        <v>44978.006365740701</v>
      </c>
      <c r="G845" s="51">
        <v>44978.015960648103</v>
      </c>
      <c r="H845" s="52">
        <v>3.136574074074E-3</v>
      </c>
      <c r="I845">
        <v>0.15277777612209301</v>
      </c>
      <c r="J845">
        <v>8915.0263848098493</v>
      </c>
      <c r="K845">
        <v>162.84777866453001</v>
      </c>
    </row>
    <row r="846" spans="1:11" x14ac:dyDescent="0.25">
      <c r="A846" t="s">
        <v>0</v>
      </c>
      <c r="B846">
        <f>VLOOKUP(C846,'[2]Ensaio 1'!$A$2:$F$28,6,FALSE)</f>
        <v>5</v>
      </c>
      <c r="C846" s="36">
        <v>960000003688554</v>
      </c>
      <c r="D846" s="36">
        <v>960000003688554</v>
      </c>
      <c r="E846" s="1">
        <f t="shared" si="13"/>
        <v>44978</v>
      </c>
      <c r="F846" s="51">
        <v>44978.022546296299</v>
      </c>
      <c r="G846" s="51">
        <v>44978.027118055601</v>
      </c>
      <c r="H846" s="52">
        <v>1.921296296296E-3</v>
      </c>
      <c r="I846">
        <v>0.54111111164092995</v>
      </c>
      <c r="J846">
        <v>10945.362925367601</v>
      </c>
      <c r="K846">
        <v>200.23309374288101</v>
      </c>
    </row>
    <row r="847" spans="1:11" x14ac:dyDescent="0.25">
      <c r="A847" t="s">
        <v>0</v>
      </c>
      <c r="B847">
        <f>VLOOKUP(C847,'[2]Ensaio 1'!$A$2:$F$28,6,FALSE)</f>
        <v>5</v>
      </c>
      <c r="C847" s="36">
        <v>960000003784722</v>
      </c>
      <c r="D847" s="36">
        <v>960000003784722</v>
      </c>
      <c r="E847" s="1">
        <f t="shared" si="13"/>
        <v>44978</v>
      </c>
      <c r="F847" s="51">
        <v>44978.027673611097</v>
      </c>
      <c r="G847" s="51">
        <v>44978.037048611099</v>
      </c>
      <c r="H847" s="52">
        <v>4.1550925925929998E-3</v>
      </c>
      <c r="I847">
        <v>0.66416668891906705</v>
      </c>
      <c r="J847">
        <v>9279.0814896076208</v>
      </c>
      <c r="K847">
        <v>182.1242556981</v>
      </c>
    </row>
    <row r="848" spans="1:11" x14ac:dyDescent="0.25">
      <c r="A848" t="s">
        <v>0</v>
      </c>
      <c r="B848">
        <f>VLOOKUP(C848,'[2]Ensaio 1'!$A$2:$F$28,6,FALSE)</f>
        <v>5</v>
      </c>
      <c r="C848" s="36">
        <v>960000003784731</v>
      </c>
      <c r="D848" s="36">
        <v>960000003784731</v>
      </c>
      <c r="E848" s="1">
        <f t="shared" si="13"/>
        <v>44978</v>
      </c>
      <c r="F848" s="51">
        <v>44978.225497685198</v>
      </c>
      <c r="G848" s="51">
        <v>44978.231979166703</v>
      </c>
      <c r="H848" s="52">
        <v>2.8472222222219999E-3</v>
      </c>
      <c r="I848">
        <v>5.4119443893432617</v>
      </c>
      <c r="J848">
        <v>8231.9573853377206</v>
      </c>
      <c r="K848">
        <v>138.25290133752401</v>
      </c>
    </row>
    <row r="849" spans="1:11" x14ac:dyDescent="0.25">
      <c r="A849" t="s">
        <v>0</v>
      </c>
      <c r="B849">
        <f>VLOOKUP(C849,'[2]Ensaio 1'!$A$2:$F$28,6,FALSE)</f>
        <v>5</v>
      </c>
      <c r="C849" s="36">
        <v>960000003784731</v>
      </c>
      <c r="D849" s="36">
        <v>960000003784731</v>
      </c>
      <c r="E849" s="1">
        <f t="shared" si="13"/>
        <v>44978</v>
      </c>
      <c r="F849" s="51">
        <v>44978.301192129598</v>
      </c>
      <c r="G849" s="51">
        <v>44978.306458333303</v>
      </c>
      <c r="H849" s="52">
        <v>1.655092592593E-3</v>
      </c>
      <c r="I849">
        <v>7.2286109924316406</v>
      </c>
      <c r="J849">
        <v>8094.3305590181699</v>
      </c>
      <c r="K849">
        <v>132.2758685204</v>
      </c>
    </row>
    <row r="850" spans="1:11" x14ac:dyDescent="0.25">
      <c r="A850" t="s">
        <v>0</v>
      </c>
      <c r="B850">
        <f>VLOOKUP(C850,'[2]Ensaio 1'!$A$2:$F$28,6,FALSE)</f>
        <v>5</v>
      </c>
      <c r="C850" s="36">
        <v>960000003784731</v>
      </c>
      <c r="D850" s="36">
        <v>960000003784731</v>
      </c>
      <c r="E850" s="1">
        <f t="shared" si="13"/>
        <v>44978</v>
      </c>
      <c r="F850" s="51">
        <v>44978.487060185202</v>
      </c>
      <c r="G850" s="51">
        <v>44978.491087962997</v>
      </c>
      <c r="H850" s="52">
        <v>3.668981481481E-3</v>
      </c>
      <c r="I850">
        <v>11.689444541931152</v>
      </c>
      <c r="J850">
        <v>8733.5433090781407</v>
      </c>
      <c r="K850">
        <v>202.75104370358</v>
      </c>
    </row>
    <row r="851" spans="1:11" x14ac:dyDescent="0.25">
      <c r="A851" t="s">
        <v>0</v>
      </c>
      <c r="B851">
        <f>VLOOKUP(C851,'[2]Ensaio 1'!$A$2:$F$28,6,FALSE)</f>
        <v>5</v>
      </c>
      <c r="C851" s="36">
        <v>960000003784699</v>
      </c>
      <c r="D851" s="36">
        <v>960000003784699</v>
      </c>
      <c r="E851" s="1">
        <f t="shared" si="13"/>
        <v>44978</v>
      </c>
      <c r="F851" s="51">
        <v>44978.524618055599</v>
      </c>
      <c r="G851" s="51">
        <v>44978.527534722198</v>
      </c>
      <c r="H851" s="52">
        <v>2.7893518518520002E-3</v>
      </c>
      <c r="I851">
        <v>12.59083366394043</v>
      </c>
      <c r="J851">
        <v>7724.5022023996298</v>
      </c>
      <c r="K851">
        <v>202.67463679990701</v>
      </c>
    </row>
    <row r="852" spans="1:11" x14ac:dyDescent="0.25">
      <c r="A852" t="s">
        <v>0</v>
      </c>
      <c r="B852">
        <f>VLOOKUP(C852,'[2]Ensaio 1'!$A$2:$F$28,6,FALSE)</f>
        <v>5</v>
      </c>
      <c r="C852" s="36">
        <v>960000003784731</v>
      </c>
      <c r="D852" s="36">
        <v>960000003784731</v>
      </c>
      <c r="E852" s="1">
        <f t="shared" si="13"/>
        <v>44978</v>
      </c>
      <c r="F852" s="51">
        <v>44978.542893518497</v>
      </c>
      <c r="G852" s="51">
        <v>44978.5477777778</v>
      </c>
      <c r="H852" s="52">
        <v>1.4236111111109999E-3</v>
      </c>
      <c r="I852">
        <v>13.029444694519043</v>
      </c>
      <c r="J852">
        <v>5493.8487989454898</v>
      </c>
      <c r="K852">
        <v>89.236424918337903</v>
      </c>
    </row>
    <row r="853" spans="1:11" x14ac:dyDescent="0.25">
      <c r="A853" t="s">
        <v>0</v>
      </c>
      <c r="B853">
        <f>VLOOKUP(C853,'[2]Ensaio 1'!$A$2:$F$28,6,FALSE)</f>
        <v>5</v>
      </c>
      <c r="C853" s="36">
        <v>960000003784722</v>
      </c>
      <c r="D853" s="36">
        <v>960000003784722</v>
      </c>
      <c r="E853" s="1">
        <f t="shared" si="13"/>
        <v>44978</v>
      </c>
      <c r="F853" s="51">
        <v>44978.585625</v>
      </c>
      <c r="G853" s="51">
        <v>44978.591192129599</v>
      </c>
      <c r="H853" s="52">
        <v>4.0972222222219997E-3</v>
      </c>
      <c r="I853">
        <v>14.055000305175781</v>
      </c>
      <c r="J853">
        <v>7994.3032315188802</v>
      </c>
      <c r="K853">
        <v>162.26323785629199</v>
      </c>
    </row>
    <row r="854" spans="1:11" x14ac:dyDescent="0.25">
      <c r="A854" t="s">
        <v>0</v>
      </c>
      <c r="B854">
        <f>VLOOKUP(C854,'[2]Ensaio 1'!$A$2:$F$28,6,FALSE)</f>
        <v>5</v>
      </c>
      <c r="C854" s="36">
        <v>960000003688554</v>
      </c>
      <c r="D854" s="36">
        <v>960000003688554</v>
      </c>
      <c r="E854" s="1">
        <f t="shared" si="13"/>
        <v>44978</v>
      </c>
      <c r="F854" s="51">
        <v>44978.6336226852</v>
      </c>
      <c r="G854" s="51">
        <v>44978.637256944399</v>
      </c>
      <c r="H854" s="52">
        <v>3.5185185185189999E-3</v>
      </c>
      <c r="I854">
        <v>15.206944465637207</v>
      </c>
      <c r="J854">
        <v>7863.6424552586604</v>
      </c>
      <c r="K854">
        <v>170.61250540871501</v>
      </c>
    </row>
    <row r="855" spans="1:11" x14ac:dyDescent="0.25">
      <c r="A855" t="s">
        <v>0</v>
      </c>
      <c r="B855">
        <f>VLOOKUP(C855,'[2]Ensaio 1'!$A$2:$F$28,6,FALSE)</f>
        <v>5</v>
      </c>
      <c r="C855" s="36">
        <v>960000003784740</v>
      </c>
      <c r="D855" s="36">
        <v>960000003784740</v>
      </c>
      <c r="E855" s="1">
        <f t="shared" si="13"/>
        <v>44978</v>
      </c>
      <c r="F855" s="51">
        <v>44978.638622685197</v>
      </c>
      <c r="G855" s="51">
        <v>44978.645069444399</v>
      </c>
      <c r="H855" s="52">
        <v>3.402777777778E-3</v>
      </c>
      <c r="I855">
        <v>15.326944351196289</v>
      </c>
      <c r="J855">
        <v>7561.8985951970099</v>
      </c>
      <c r="K855">
        <v>136.558928028715</v>
      </c>
    </row>
    <row r="856" spans="1:11" x14ac:dyDescent="0.25">
      <c r="A856" t="s">
        <v>0</v>
      </c>
      <c r="B856">
        <f>VLOOKUP(C856,'[2]Ensaio 1'!$A$2:$F$28,6,FALSE)</f>
        <v>5</v>
      </c>
      <c r="C856" s="36">
        <v>960000003784731</v>
      </c>
      <c r="D856" s="36">
        <v>960000003784731</v>
      </c>
      <c r="E856" s="1">
        <f t="shared" si="13"/>
        <v>44978</v>
      </c>
      <c r="F856" s="51">
        <v>44978.688472222202</v>
      </c>
      <c r="G856" s="51">
        <v>44978.690706018497</v>
      </c>
      <c r="H856" s="52">
        <v>2.1875000000000002E-3</v>
      </c>
      <c r="I856">
        <v>16.523332595825195</v>
      </c>
      <c r="J856">
        <v>7279.8434809231203</v>
      </c>
      <c r="K856">
        <v>136.51286004298299</v>
      </c>
    </row>
    <row r="857" spans="1:11" x14ac:dyDescent="0.25">
      <c r="A857" t="s">
        <v>0</v>
      </c>
      <c r="B857">
        <f>VLOOKUP(C857,'[2]Ensaio 1'!$A$2:$F$28,6,FALSE)</f>
        <v>5</v>
      </c>
      <c r="C857" s="36">
        <v>960000003784731</v>
      </c>
      <c r="D857" s="36">
        <v>960000003784731</v>
      </c>
      <c r="E857" s="1">
        <f t="shared" si="13"/>
        <v>44978</v>
      </c>
      <c r="F857" s="51">
        <v>44978.700706018499</v>
      </c>
      <c r="G857" s="51">
        <v>44978.709039351903</v>
      </c>
      <c r="H857" s="52">
        <v>6.3541666666669999E-3</v>
      </c>
      <c r="I857">
        <v>16.816944122314453</v>
      </c>
      <c r="J857">
        <v>8868.0743844406406</v>
      </c>
      <c r="K857">
        <v>204.218114543502</v>
      </c>
    </row>
    <row r="858" spans="1:11" x14ac:dyDescent="0.25">
      <c r="A858" t="s">
        <v>0</v>
      </c>
      <c r="B858">
        <f>VLOOKUP(C858,'[2]Ensaio 1'!$A$2:$F$28,6,FALSE)</f>
        <v>5</v>
      </c>
      <c r="C858" s="36">
        <v>960000003784722</v>
      </c>
      <c r="D858" s="36">
        <v>960000003784722</v>
      </c>
      <c r="E858" s="1">
        <f t="shared" si="13"/>
        <v>44978</v>
      </c>
      <c r="F858" s="51">
        <v>44978.802673611099</v>
      </c>
      <c r="G858" s="51">
        <v>44978.807476851798</v>
      </c>
      <c r="H858" s="52">
        <v>4.0972222222219997E-3</v>
      </c>
      <c r="I858">
        <v>19.264165878295898</v>
      </c>
      <c r="J858">
        <v>10257.993942442499</v>
      </c>
      <c r="K858">
        <v>237.065721287999</v>
      </c>
    </row>
    <row r="859" spans="1:11" x14ac:dyDescent="0.25">
      <c r="A859" t="s">
        <v>0</v>
      </c>
      <c r="B859">
        <f>VLOOKUP(C859,'[2]Ensaio 1'!$A$2:$F$28,6,FALSE)</f>
        <v>5</v>
      </c>
      <c r="C859" s="36">
        <v>960000003688554</v>
      </c>
      <c r="D859" s="36">
        <v>960000003688554</v>
      </c>
      <c r="E859" s="1">
        <f t="shared" si="13"/>
        <v>44978</v>
      </c>
      <c r="F859" s="51">
        <v>44978.895543981504</v>
      </c>
      <c r="G859" s="51">
        <v>44978.898472222201</v>
      </c>
      <c r="H859" s="52">
        <v>2.8819444444439998E-3</v>
      </c>
      <c r="I859">
        <v>21.49305534362793</v>
      </c>
      <c r="J859">
        <v>11203.716985273</v>
      </c>
      <c r="K859">
        <v>307.07681870722502</v>
      </c>
    </row>
    <row r="860" spans="1:11" x14ac:dyDescent="0.25">
      <c r="A860" t="s">
        <v>0</v>
      </c>
      <c r="B860">
        <f>VLOOKUP(C860,'[2]Ensaio 1'!$A$2:$F$28,6,FALSE)</f>
        <v>5</v>
      </c>
      <c r="C860" s="36">
        <v>960000003784731</v>
      </c>
      <c r="D860" s="36">
        <v>960000003784731</v>
      </c>
      <c r="E860" s="1">
        <f t="shared" si="13"/>
        <v>44978</v>
      </c>
      <c r="F860" s="51">
        <v>44978.934398148202</v>
      </c>
      <c r="G860" s="51">
        <v>44978.936157407399</v>
      </c>
      <c r="H860" s="52">
        <v>1.5972222222220001E-3</v>
      </c>
      <c r="I860">
        <v>22.425556182861328</v>
      </c>
      <c r="J860">
        <v>8941.8452736820109</v>
      </c>
      <c r="K860">
        <v>239.98983547988499</v>
      </c>
    </row>
    <row r="861" spans="1:11" x14ac:dyDescent="0.25">
      <c r="A861" t="s">
        <v>0</v>
      </c>
      <c r="B861">
        <f>VLOOKUP(C861,'[2]Ensaio 1'!$A$2:$F$28,6,FALSE)</f>
        <v>5</v>
      </c>
      <c r="C861" s="36">
        <v>960000003784731</v>
      </c>
      <c r="D861" s="36">
        <v>960000003784731</v>
      </c>
      <c r="E861" s="1">
        <f t="shared" si="13"/>
        <v>44979</v>
      </c>
      <c r="F861" s="51">
        <v>44979.002233796302</v>
      </c>
      <c r="G861" s="51">
        <v>44979.005347222199</v>
      </c>
      <c r="H861" s="52">
        <v>3.0787037037039999E-3</v>
      </c>
      <c r="I861">
        <v>5.3611110895871998E-2</v>
      </c>
      <c r="J861">
        <v>9204.6403428707308</v>
      </c>
      <c r="K861">
        <v>170.20269549715599</v>
      </c>
    </row>
    <row r="862" spans="1:11" x14ac:dyDescent="0.25">
      <c r="A862" t="s">
        <v>0</v>
      </c>
      <c r="B862">
        <f>VLOOKUP(C862,'[2]Ensaio 1'!$A$2:$F$28,6,FALSE)</f>
        <v>5</v>
      </c>
      <c r="C862" s="36">
        <v>960000003784722</v>
      </c>
      <c r="D862" s="36">
        <v>960000003784722</v>
      </c>
      <c r="E862" s="1">
        <f t="shared" si="13"/>
        <v>44979</v>
      </c>
      <c r="F862" s="51">
        <v>44979.0062384259</v>
      </c>
      <c r="G862" s="51">
        <v>44979.009814814803</v>
      </c>
      <c r="H862" s="52">
        <v>3.1018518518520001E-3</v>
      </c>
      <c r="I862">
        <v>0.14972221851348899</v>
      </c>
      <c r="J862">
        <v>9330.8254637387108</v>
      </c>
      <c r="K862">
        <v>158.48100953647401</v>
      </c>
    </row>
    <row r="863" spans="1:11" x14ac:dyDescent="0.25">
      <c r="A863" t="s">
        <v>0</v>
      </c>
      <c r="B863">
        <f>VLOOKUP(C863,'[2]Ensaio 1'!$A$2:$F$28,6,FALSE)</f>
        <v>5</v>
      </c>
      <c r="C863" s="36">
        <v>960000003784740</v>
      </c>
      <c r="D863" s="36">
        <v>960000003784740</v>
      </c>
      <c r="E863" s="1">
        <f t="shared" si="13"/>
        <v>44979</v>
      </c>
      <c r="F863" s="51">
        <v>44979.040416666699</v>
      </c>
      <c r="G863" s="51">
        <v>44979.045821759297</v>
      </c>
      <c r="H863" s="52">
        <v>3.773148148148E-3</v>
      </c>
      <c r="I863">
        <v>0.97000002861022905</v>
      </c>
      <c r="J863">
        <v>8822.4642334078799</v>
      </c>
      <c r="K863">
        <v>193.96736202450199</v>
      </c>
    </row>
    <row r="864" spans="1:11" x14ac:dyDescent="0.25">
      <c r="A864" t="s">
        <v>0</v>
      </c>
      <c r="B864">
        <f>VLOOKUP(C864,'[2]Ensaio 1'!$A$2:$F$28,6,FALSE)</f>
        <v>5</v>
      </c>
      <c r="C864" s="36">
        <v>960000003784699</v>
      </c>
      <c r="D864" s="36">
        <v>960000003784699</v>
      </c>
      <c r="E864" s="1">
        <f t="shared" si="13"/>
        <v>44979</v>
      </c>
      <c r="F864" s="51">
        <v>44979.055150462998</v>
      </c>
      <c r="G864" s="51">
        <v>44979.057777777802</v>
      </c>
      <c r="H864" s="52">
        <v>2.4189814814810002E-3</v>
      </c>
      <c r="I864">
        <v>1.3236111402511599</v>
      </c>
      <c r="J864">
        <v>8089.9338079201798</v>
      </c>
      <c r="K864">
        <v>109.73118689778499</v>
      </c>
    </row>
    <row r="865" spans="1:11" x14ac:dyDescent="0.25">
      <c r="A865" t="s">
        <v>0</v>
      </c>
      <c r="B865">
        <f>VLOOKUP(C865,'[2]Ensaio 1'!$A$2:$F$28,6,FALSE)</f>
        <v>5</v>
      </c>
      <c r="C865" s="36">
        <v>960000003688554</v>
      </c>
      <c r="D865" s="36">
        <v>960000003688554</v>
      </c>
      <c r="E865" s="1">
        <f t="shared" si="13"/>
        <v>44979</v>
      </c>
      <c r="F865" s="51">
        <v>44979.060243055603</v>
      </c>
      <c r="G865" s="51">
        <v>44979.064675925903</v>
      </c>
      <c r="H865" s="52">
        <v>4.340277777778E-3</v>
      </c>
      <c r="I865">
        <v>1.4458333253860469</v>
      </c>
      <c r="J865">
        <v>10069.1407723012</v>
      </c>
      <c r="K865">
        <v>208.369556512505</v>
      </c>
    </row>
    <row r="866" spans="1:11" x14ac:dyDescent="0.25">
      <c r="A866" t="s">
        <v>0</v>
      </c>
      <c r="B866">
        <f>VLOOKUP(C866,'[2]Ensaio 1'!$A$2:$F$28,6,FALSE)</f>
        <v>5</v>
      </c>
      <c r="C866" s="36">
        <v>960000003784731</v>
      </c>
      <c r="D866" s="36">
        <v>960000003784731</v>
      </c>
      <c r="E866" s="1">
        <f t="shared" si="13"/>
        <v>44979</v>
      </c>
      <c r="F866" s="51">
        <v>44979.240914351903</v>
      </c>
      <c r="G866" s="51">
        <v>44979.244548611103</v>
      </c>
      <c r="H866" s="52">
        <v>3.3449074074069999E-3</v>
      </c>
      <c r="I866">
        <v>5.7819442749023438</v>
      </c>
      <c r="J866">
        <v>9931.0466310235697</v>
      </c>
      <c r="K866">
        <v>216.71147769963</v>
      </c>
    </row>
    <row r="867" spans="1:11" x14ac:dyDescent="0.25">
      <c r="A867" t="s">
        <v>0</v>
      </c>
      <c r="B867">
        <f>VLOOKUP(C867,'[2]Ensaio 1'!$A$2:$F$28,6,FALSE)</f>
        <v>5</v>
      </c>
      <c r="C867" s="36">
        <v>960000003688554</v>
      </c>
      <c r="D867" s="36">
        <v>960000003688554</v>
      </c>
      <c r="E867" s="1">
        <f t="shared" si="13"/>
        <v>44979</v>
      </c>
      <c r="F867" s="51">
        <v>44979.279745370397</v>
      </c>
      <c r="G867" s="51">
        <v>44979.2836342593</v>
      </c>
      <c r="H867" s="52">
        <v>3.7499999999999999E-3</v>
      </c>
      <c r="I867">
        <v>6.7138891220092773</v>
      </c>
      <c r="J867">
        <v>8839.4284597562291</v>
      </c>
      <c r="K867">
        <v>172.216953188242</v>
      </c>
    </row>
    <row r="868" spans="1:11" x14ac:dyDescent="0.25">
      <c r="A868" t="s">
        <v>0</v>
      </c>
      <c r="B868">
        <f>VLOOKUP(C868,'[2]Ensaio 1'!$A$2:$F$28,6,FALSE)</f>
        <v>5</v>
      </c>
      <c r="C868" s="36">
        <v>960000003784699</v>
      </c>
      <c r="D868" s="36">
        <v>960000003784699</v>
      </c>
      <c r="E868" s="1">
        <f t="shared" si="13"/>
        <v>44979</v>
      </c>
      <c r="F868" s="51">
        <v>44979.285821759302</v>
      </c>
      <c r="G868" s="51">
        <v>44979.289861111101</v>
      </c>
      <c r="H868" s="52">
        <v>3.541666666667E-3</v>
      </c>
      <c r="I868">
        <v>6.8597221374511719</v>
      </c>
      <c r="J868">
        <v>7547.89162949402</v>
      </c>
      <c r="K868">
        <v>144.412295509816</v>
      </c>
    </row>
    <row r="869" spans="1:11" x14ac:dyDescent="0.25">
      <c r="A869" t="s">
        <v>0</v>
      </c>
      <c r="B869">
        <f>VLOOKUP(C869,'[2]Ensaio 1'!$A$2:$F$28,6,FALSE)</f>
        <v>5</v>
      </c>
      <c r="C869" s="36">
        <v>960000003784722</v>
      </c>
      <c r="D869" s="36">
        <v>960000003784722</v>
      </c>
      <c r="E869" s="1">
        <f t="shared" si="13"/>
        <v>44979</v>
      </c>
      <c r="F869" s="51">
        <v>44979.302291666703</v>
      </c>
      <c r="G869" s="51">
        <v>44979.306875000002</v>
      </c>
      <c r="H869" s="52">
        <v>3.9120370370370004E-3</v>
      </c>
      <c r="I869">
        <v>7.255000114440918</v>
      </c>
      <c r="J869">
        <v>9181.5454899910401</v>
      </c>
      <c r="K869">
        <v>203.05928144258201</v>
      </c>
    </row>
    <row r="870" spans="1:11" x14ac:dyDescent="0.25">
      <c r="A870" t="s">
        <v>0</v>
      </c>
      <c r="B870">
        <f>VLOOKUP(C870,'[2]Ensaio 1'!$A$2:$F$28,6,FALSE)</f>
        <v>5</v>
      </c>
      <c r="C870" s="36">
        <v>960000003784740</v>
      </c>
      <c r="D870" s="36">
        <v>960000003784740</v>
      </c>
      <c r="E870" s="1">
        <f t="shared" si="13"/>
        <v>44979</v>
      </c>
      <c r="F870" s="51">
        <v>44979.3120023148</v>
      </c>
      <c r="G870" s="51">
        <v>44979.318564814799</v>
      </c>
      <c r="H870" s="52">
        <v>3.402777777778E-3</v>
      </c>
      <c r="I870">
        <v>7.4880557060241699</v>
      </c>
      <c r="J870">
        <v>8818.2187059223306</v>
      </c>
      <c r="K870">
        <v>190.03790443957101</v>
      </c>
    </row>
    <row r="871" spans="1:11" x14ac:dyDescent="0.25">
      <c r="A871" t="s">
        <v>0</v>
      </c>
      <c r="B871">
        <f>VLOOKUP(C871,'[2]Ensaio 1'!$A$2:$F$28,6,FALSE)</f>
        <v>5</v>
      </c>
      <c r="C871" s="36">
        <v>960000003784731</v>
      </c>
      <c r="D871" s="36">
        <v>960000003784731</v>
      </c>
      <c r="E871" s="1">
        <f t="shared" si="13"/>
        <v>44979</v>
      </c>
      <c r="F871" s="51">
        <v>44979.464039351798</v>
      </c>
      <c r="G871" s="51">
        <v>44979.4676273148</v>
      </c>
      <c r="H871" s="52">
        <v>3.3796296296299999E-3</v>
      </c>
      <c r="I871">
        <v>11.136944770812988</v>
      </c>
      <c r="J871">
        <v>8201.9368489589597</v>
      </c>
      <c r="K871">
        <v>161.379789732955</v>
      </c>
    </row>
    <row r="872" spans="1:11" x14ac:dyDescent="0.25">
      <c r="A872" t="s">
        <v>0</v>
      </c>
      <c r="B872">
        <f>VLOOKUP(C872,'[2]Ensaio 1'!$A$2:$F$28,6,FALSE)</f>
        <v>5</v>
      </c>
      <c r="C872" s="36">
        <v>960000003688554</v>
      </c>
      <c r="D872" s="36">
        <v>960000003688554</v>
      </c>
      <c r="E872" s="1">
        <f t="shared" si="13"/>
        <v>44979</v>
      </c>
      <c r="F872" s="51">
        <v>44979.542951388903</v>
      </c>
      <c r="G872" s="51">
        <v>44979.545405092598</v>
      </c>
      <c r="H872" s="52">
        <v>2.2453703703699999E-3</v>
      </c>
      <c r="I872">
        <v>13.03083324432373</v>
      </c>
      <c r="J872">
        <v>8066.3264490112697</v>
      </c>
      <c r="K872">
        <v>183.36396131628899</v>
      </c>
    </row>
    <row r="873" spans="1:11" x14ac:dyDescent="0.25">
      <c r="A873" t="s">
        <v>0</v>
      </c>
      <c r="B873">
        <f>VLOOKUP(C873,'[2]Ensaio 1'!$A$2:$F$28,6,FALSE)</f>
        <v>5</v>
      </c>
      <c r="C873" s="36">
        <v>960000003784699</v>
      </c>
      <c r="D873" s="36">
        <v>960000003784699</v>
      </c>
      <c r="E873" s="1">
        <f t="shared" si="13"/>
        <v>44979</v>
      </c>
      <c r="F873" s="51">
        <v>44979.5479513889</v>
      </c>
      <c r="G873" s="51">
        <v>44979.551458333299</v>
      </c>
      <c r="H873" s="52">
        <v>3.1944444444440001E-3</v>
      </c>
      <c r="I873">
        <v>13.150833129882813</v>
      </c>
      <c r="J873">
        <v>7954.30912688031</v>
      </c>
      <c r="K873">
        <v>146.262424674762</v>
      </c>
    </row>
    <row r="874" spans="1:11" x14ac:dyDescent="0.25">
      <c r="A874" t="s">
        <v>0</v>
      </c>
      <c r="B874">
        <f>VLOOKUP(C874,'[2]Ensaio 1'!$A$2:$F$28,6,FALSE)</f>
        <v>5</v>
      </c>
      <c r="C874" s="36">
        <v>960000003784722</v>
      </c>
      <c r="D874" s="36">
        <v>960000003784722</v>
      </c>
      <c r="E874" s="1">
        <f t="shared" si="13"/>
        <v>44979</v>
      </c>
      <c r="F874" s="51">
        <v>44979.555486111101</v>
      </c>
      <c r="G874" s="51">
        <v>44979.558645833298</v>
      </c>
      <c r="H874" s="52">
        <v>3.0092592592589999E-3</v>
      </c>
      <c r="I874">
        <v>13.331666946411133</v>
      </c>
      <c r="J874">
        <v>9607.2034247149095</v>
      </c>
      <c r="K874">
        <v>162.026284111124</v>
      </c>
    </row>
    <row r="875" spans="1:11" x14ac:dyDescent="0.25">
      <c r="A875" t="s">
        <v>0</v>
      </c>
      <c r="B875">
        <f>VLOOKUP(C875,'[2]Ensaio 1'!$A$2:$F$28,6,FALSE)</f>
        <v>5</v>
      </c>
      <c r="C875" s="36">
        <v>960000003784740</v>
      </c>
      <c r="D875" s="36">
        <v>960000003784740</v>
      </c>
      <c r="E875" s="1">
        <f t="shared" si="13"/>
        <v>44979</v>
      </c>
      <c r="F875" s="51">
        <v>44979.569224537001</v>
      </c>
      <c r="G875" s="51">
        <v>44979.573483796303</v>
      </c>
      <c r="H875" s="52">
        <v>3.032407407407E-3</v>
      </c>
      <c r="I875">
        <v>13.661389350891113</v>
      </c>
      <c r="J875">
        <v>9882.2472269426598</v>
      </c>
      <c r="K875">
        <v>218.19845769532401</v>
      </c>
    </row>
    <row r="876" spans="1:11" x14ac:dyDescent="0.25">
      <c r="A876" t="s">
        <v>0</v>
      </c>
      <c r="B876">
        <f>VLOOKUP(C876,'[2]Ensaio 1'!$A$2:$F$28,6,FALSE)</f>
        <v>5</v>
      </c>
      <c r="C876" s="36">
        <v>960000003784731</v>
      </c>
      <c r="D876" s="36">
        <v>960000003784731</v>
      </c>
      <c r="E876" s="1">
        <f t="shared" si="13"/>
        <v>44979</v>
      </c>
      <c r="F876" s="51">
        <v>44979.711261574099</v>
      </c>
      <c r="G876" s="51">
        <v>44979.714594907397</v>
      </c>
      <c r="H876" s="52">
        <v>3.2638888888890001E-3</v>
      </c>
      <c r="I876">
        <v>17.070278167724609</v>
      </c>
      <c r="J876">
        <v>9332.8568199510592</v>
      </c>
      <c r="K876">
        <v>242.56725984468699</v>
      </c>
    </row>
    <row r="877" spans="1:11" x14ac:dyDescent="0.25">
      <c r="A877" t="s">
        <v>0</v>
      </c>
      <c r="B877">
        <f>VLOOKUP(C877,'[2]Ensaio 1'!$A$2:$F$28,6,FALSE)</f>
        <v>5</v>
      </c>
      <c r="C877" s="36">
        <v>960000003784722</v>
      </c>
      <c r="D877" s="36">
        <v>960000003784722</v>
      </c>
      <c r="E877" s="1">
        <f t="shared" si="13"/>
        <v>44979</v>
      </c>
      <c r="F877" s="51">
        <v>44979.776793981502</v>
      </c>
      <c r="G877" s="51">
        <v>44979.780243055597</v>
      </c>
      <c r="H877" s="52">
        <v>2.974537037037E-3</v>
      </c>
      <c r="I877">
        <v>18.643054962158203</v>
      </c>
      <c r="J877">
        <v>11213.8508529796</v>
      </c>
      <c r="K877">
        <v>257.59901559159698</v>
      </c>
    </row>
    <row r="878" spans="1:11" x14ac:dyDescent="0.25">
      <c r="A878" t="s">
        <v>0</v>
      </c>
      <c r="B878">
        <f>VLOOKUP(C878,'[2]Ensaio 1'!$A$2:$F$28,6,FALSE)</f>
        <v>5</v>
      </c>
      <c r="C878" s="36">
        <v>960000003784740</v>
      </c>
      <c r="D878" s="36">
        <v>960000003784740</v>
      </c>
      <c r="E878" s="1">
        <f t="shared" si="13"/>
        <v>44979</v>
      </c>
      <c r="F878" s="51">
        <v>44979.788310185198</v>
      </c>
      <c r="G878" s="51">
        <v>44979.793032407397</v>
      </c>
      <c r="H878" s="52">
        <v>2.3611111111110001E-3</v>
      </c>
      <c r="I878">
        <v>18.919445037841797</v>
      </c>
      <c r="J878">
        <v>8719.8617537420396</v>
      </c>
      <c r="K878">
        <v>232.53622573756601</v>
      </c>
    </row>
    <row r="879" spans="1:11" x14ac:dyDescent="0.25">
      <c r="A879" t="s">
        <v>0</v>
      </c>
      <c r="B879">
        <f>VLOOKUP(C879,'[2]Ensaio 1'!$A$2:$F$28,6,FALSE)</f>
        <v>5</v>
      </c>
      <c r="C879" s="36">
        <v>960000003688554</v>
      </c>
      <c r="D879" s="36">
        <v>960000003688554</v>
      </c>
      <c r="E879" s="1">
        <f t="shared" si="13"/>
        <v>44979</v>
      </c>
      <c r="F879" s="51">
        <v>44979.8675462963</v>
      </c>
      <c r="G879" s="51">
        <v>44979.871574074103</v>
      </c>
      <c r="H879" s="52">
        <v>3.3449074074069999E-3</v>
      </c>
      <c r="I879">
        <v>20.821111679077148</v>
      </c>
      <c r="J879">
        <v>10045.5899630852</v>
      </c>
      <c r="K879">
        <v>205.27467916348499</v>
      </c>
    </row>
    <row r="880" spans="1:11" x14ac:dyDescent="0.25">
      <c r="A880" t="s">
        <v>0</v>
      </c>
      <c r="B880">
        <f>VLOOKUP(C880,'[2]Ensaio 1'!$A$2:$F$28,6,FALSE)</f>
        <v>5</v>
      </c>
      <c r="C880" s="36">
        <v>960000003784699</v>
      </c>
      <c r="D880" s="36">
        <v>960000003784699</v>
      </c>
      <c r="E880" s="1">
        <f t="shared" si="13"/>
        <v>44979</v>
      </c>
      <c r="F880" s="51">
        <v>44979.884444444397</v>
      </c>
      <c r="G880" s="51">
        <v>44979.887546296297</v>
      </c>
      <c r="H880" s="52">
        <v>2.8124999999999999E-3</v>
      </c>
      <c r="I880">
        <v>21.226667404174805</v>
      </c>
      <c r="J880">
        <v>9384.9592149250002</v>
      </c>
      <c r="K880">
        <v>191.160129624593</v>
      </c>
    </row>
    <row r="881" spans="1:11" x14ac:dyDescent="0.25">
      <c r="A881" t="s">
        <v>0</v>
      </c>
      <c r="B881">
        <f>VLOOKUP(C881,'[2]Ensaio 1'!$A$2:$F$28,6,FALSE)</f>
        <v>5</v>
      </c>
      <c r="C881" s="36">
        <v>960000003784731</v>
      </c>
      <c r="D881" s="36">
        <v>960000003784731</v>
      </c>
      <c r="E881" s="1">
        <f t="shared" si="13"/>
        <v>44979</v>
      </c>
      <c r="F881" s="51">
        <v>44979.933483796303</v>
      </c>
      <c r="G881" s="51">
        <v>44979.936469907399</v>
      </c>
      <c r="H881" s="52">
        <v>2.743055555556E-3</v>
      </c>
      <c r="I881">
        <v>22.403610229492188</v>
      </c>
      <c r="J881">
        <v>9513.3165005655501</v>
      </c>
      <c r="K881">
        <v>193.77247202057899</v>
      </c>
    </row>
    <row r="882" spans="1:11" x14ac:dyDescent="0.25">
      <c r="A882" t="s">
        <v>0</v>
      </c>
      <c r="B882">
        <f>VLOOKUP(C882,'[2]Ensaio 1'!$A$2:$F$28,6,FALSE)</f>
        <v>5</v>
      </c>
      <c r="C882" s="36">
        <v>960000003784722</v>
      </c>
      <c r="D882" s="36">
        <v>960000003784722</v>
      </c>
      <c r="E882" s="1">
        <f t="shared" si="13"/>
        <v>44980</v>
      </c>
      <c r="F882" s="51">
        <v>44980.033090277801</v>
      </c>
      <c r="G882" s="51">
        <v>44980.036307870403</v>
      </c>
      <c r="H882" s="52">
        <v>3.1597222222220001E-3</v>
      </c>
      <c r="I882">
        <v>0.79416668415069602</v>
      </c>
      <c r="J882">
        <v>9982.4870100069093</v>
      </c>
      <c r="K882">
        <v>170.06634366205699</v>
      </c>
    </row>
    <row r="883" spans="1:11" x14ac:dyDescent="0.25">
      <c r="A883" t="s">
        <v>0</v>
      </c>
      <c r="B883">
        <f>VLOOKUP(C883,'[2]Ensaio 1'!$A$2:$F$28,6,FALSE)</f>
        <v>5</v>
      </c>
      <c r="C883" s="36">
        <v>960000003784731</v>
      </c>
      <c r="D883" s="36">
        <v>960000003784731</v>
      </c>
      <c r="E883" s="1">
        <f t="shared" si="13"/>
        <v>44980</v>
      </c>
      <c r="F883" s="51">
        <v>44980.037916666697</v>
      </c>
      <c r="G883" s="51">
        <v>44980.041122685201</v>
      </c>
      <c r="H883" s="52">
        <v>2.638888888889E-3</v>
      </c>
      <c r="I883">
        <v>0.91000002622604403</v>
      </c>
      <c r="J883">
        <v>9100.6722463188198</v>
      </c>
      <c r="K883">
        <v>186.38777580842299</v>
      </c>
    </row>
    <row r="884" spans="1:11" x14ac:dyDescent="0.25">
      <c r="A884" t="s">
        <v>0</v>
      </c>
      <c r="B884">
        <f>VLOOKUP(C884,'[2]Ensaio 1'!$A$2:$F$28,6,FALSE)</f>
        <v>5</v>
      </c>
      <c r="C884" s="36">
        <v>960000003784740</v>
      </c>
      <c r="D884" s="36">
        <v>960000003784740</v>
      </c>
      <c r="E884" s="1">
        <f t="shared" si="13"/>
        <v>44980</v>
      </c>
      <c r="F884" s="51">
        <v>44980.041712963</v>
      </c>
      <c r="G884" s="51">
        <v>44980.048217592601</v>
      </c>
      <c r="H884" s="52">
        <v>3.171296296296E-3</v>
      </c>
      <c r="I884">
        <v>1.0011111497879031</v>
      </c>
      <c r="J884">
        <v>9107.6184615005895</v>
      </c>
      <c r="K884">
        <v>215.85512419403801</v>
      </c>
    </row>
    <row r="885" spans="1:11" x14ac:dyDescent="0.25">
      <c r="A885" t="s">
        <v>0</v>
      </c>
      <c r="B885">
        <f>VLOOKUP(C885,'[2]Ensaio 1'!$A$2:$F$28,6,FALSE)</f>
        <v>5</v>
      </c>
      <c r="C885" s="36">
        <v>960000003784731</v>
      </c>
      <c r="D885" s="36">
        <v>960000003784731</v>
      </c>
      <c r="E885" s="1">
        <f t="shared" si="13"/>
        <v>44980</v>
      </c>
      <c r="F885" s="51">
        <v>44980.051134259302</v>
      </c>
      <c r="G885" s="51">
        <v>44980.053321759297</v>
      </c>
      <c r="H885" s="52">
        <v>1.50462962963E-3</v>
      </c>
      <c r="I885">
        <v>1.227222204208374</v>
      </c>
      <c r="J885">
        <v>7630.4621273661096</v>
      </c>
      <c r="K885">
        <v>135.36921288859099</v>
      </c>
    </row>
    <row r="886" spans="1:11" x14ac:dyDescent="0.25">
      <c r="A886" t="s">
        <v>0</v>
      </c>
      <c r="B886">
        <f>VLOOKUP(C886,'[2]Ensaio 1'!$A$2:$F$28,6,FALSE)</f>
        <v>5</v>
      </c>
      <c r="C886" s="36">
        <v>960000003784699</v>
      </c>
      <c r="D886" s="36">
        <v>960000003784699</v>
      </c>
      <c r="E886" s="1">
        <f t="shared" si="13"/>
        <v>44980</v>
      </c>
      <c r="F886" s="51">
        <v>44980.056689814803</v>
      </c>
      <c r="G886" s="51">
        <v>44980.059884259303</v>
      </c>
      <c r="H886" s="52">
        <v>2.6273148148150001E-3</v>
      </c>
      <c r="I886">
        <v>1.3605555295944209</v>
      </c>
      <c r="J886">
        <v>7695.4497080963001</v>
      </c>
      <c r="K886">
        <v>126.99871511388901</v>
      </c>
    </row>
    <row r="887" spans="1:11" x14ac:dyDescent="0.25">
      <c r="A887" t="s">
        <v>0</v>
      </c>
      <c r="B887">
        <f>VLOOKUP(C887,'[2]Ensaio 1'!$A$2:$F$28,6,FALSE)</f>
        <v>5</v>
      </c>
      <c r="C887" s="36">
        <v>960000003688554</v>
      </c>
      <c r="D887" s="36">
        <v>960000003688554</v>
      </c>
      <c r="E887" s="1">
        <f t="shared" si="13"/>
        <v>44980</v>
      </c>
      <c r="F887" s="51">
        <v>44980.061111111099</v>
      </c>
      <c r="G887" s="51">
        <v>44980.065150463</v>
      </c>
      <c r="H887" s="52">
        <v>3.9699074074069996E-3</v>
      </c>
      <c r="I887">
        <v>1.466666698455811</v>
      </c>
      <c r="J887">
        <v>9740.3646793469707</v>
      </c>
      <c r="K887">
        <v>173.152762739059</v>
      </c>
    </row>
    <row r="888" spans="1:11" x14ac:dyDescent="0.25">
      <c r="A888" t="s">
        <v>0</v>
      </c>
      <c r="B888">
        <f>VLOOKUP(C888,'[2]Ensaio 1'!$A$2:$F$28,6,FALSE)</f>
        <v>5</v>
      </c>
      <c r="C888" s="36">
        <v>960000003784731</v>
      </c>
      <c r="D888" s="36">
        <v>960000003784731</v>
      </c>
      <c r="E888" s="1">
        <f t="shared" si="13"/>
        <v>44980</v>
      </c>
      <c r="F888" s="51">
        <v>44980.272141203699</v>
      </c>
      <c r="G888" s="51">
        <v>44980.276238425897</v>
      </c>
      <c r="H888" s="52">
        <v>3.3796296296299999E-3</v>
      </c>
      <c r="I888">
        <v>6.5313887596130371</v>
      </c>
      <c r="J888">
        <v>7661.0381884750796</v>
      </c>
      <c r="K888">
        <v>159.79135865479401</v>
      </c>
    </row>
    <row r="889" spans="1:11" x14ac:dyDescent="0.25">
      <c r="A889" t="s">
        <v>0</v>
      </c>
      <c r="B889">
        <f>VLOOKUP(C889,'[2]Ensaio 1'!$A$2:$F$28,6,FALSE)</f>
        <v>5</v>
      </c>
      <c r="C889" s="36">
        <v>960000003784740</v>
      </c>
      <c r="D889" s="36">
        <v>960000003784740</v>
      </c>
      <c r="E889" s="1">
        <f t="shared" si="13"/>
        <v>44980</v>
      </c>
      <c r="F889" s="51">
        <v>44980.290034722202</v>
      </c>
      <c r="G889" s="51">
        <v>44980.295243055603</v>
      </c>
      <c r="H889" s="52">
        <v>2.5810185185189999E-3</v>
      </c>
      <c r="I889">
        <v>6.9608335494995117</v>
      </c>
      <c r="J889">
        <v>8215.8964902623102</v>
      </c>
      <c r="K889">
        <v>202.89205720100799</v>
      </c>
    </row>
    <row r="890" spans="1:11" x14ac:dyDescent="0.25">
      <c r="A890" t="s">
        <v>0</v>
      </c>
      <c r="B890">
        <f>VLOOKUP(C890,'[2]Ensaio 1'!$A$2:$F$28,6,FALSE)</f>
        <v>5</v>
      </c>
      <c r="C890" s="36">
        <v>960000003688554</v>
      </c>
      <c r="D890" s="36">
        <v>960000003688554</v>
      </c>
      <c r="E890" s="1">
        <f t="shared" si="13"/>
        <v>44980</v>
      </c>
      <c r="F890" s="51">
        <v>44980.298900463</v>
      </c>
      <c r="G890" s="51">
        <v>44980.302233796298</v>
      </c>
      <c r="H890" s="52">
        <v>3.1134259259259999E-3</v>
      </c>
      <c r="I890">
        <v>7.1736111640930176</v>
      </c>
      <c r="J890">
        <v>8815.9747009305102</v>
      </c>
      <c r="K890">
        <v>169.273149589132</v>
      </c>
    </row>
    <row r="891" spans="1:11" x14ac:dyDescent="0.25">
      <c r="A891" t="s">
        <v>0</v>
      </c>
      <c r="B891">
        <f>VLOOKUP(C891,'[2]Ensaio 1'!$A$2:$F$28,6,FALSE)</f>
        <v>5</v>
      </c>
      <c r="C891" s="36">
        <v>960000003784699</v>
      </c>
      <c r="D891" s="36">
        <v>960000003784699</v>
      </c>
      <c r="E891" s="1">
        <f t="shared" si="13"/>
        <v>44980</v>
      </c>
      <c r="F891" s="51">
        <v>44980.323807870402</v>
      </c>
      <c r="G891" s="51">
        <v>44980.327060185198</v>
      </c>
      <c r="H891" s="52">
        <v>2.905092592593E-3</v>
      </c>
      <c r="I891">
        <v>7.7713890075683594</v>
      </c>
      <c r="J891">
        <v>7843.5500546657904</v>
      </c>
      <c r="K891">
        <v>144.54468425015401</v>
      </c>
    </row>
    <row r="892" spans="1:11" x14ac:dyDescent="0.25">
      <c r="A892" t="s">
        <v>0</v>
      </c>
      <c r="B892">
        <f>VLOOKUP(C892,'[2]Ensaio 1'!$A$2:$F$28,6,FALSE)</f>
        <v>5</v>
      </c>
      <c r="C892" s="36">
        <v>960000003784722</v>
      </c>
      <c r="D892" s="36">
        <v>960000003784722</v>
      </c>
      <c r="E892" s="1">
        <f t="shared" si="13"/>
        <v>44980</v>
      </c>
      <c r="F892" s="51">
        <v>44980.379953703698</v>
      </c>
      <c r="G892" s="51">
        <v>44980.3833101852</v>
      </c>
      <c r="H892" s="52">
        <v>3.3101851851849999E-3</v>
      </c>
      <c r="I892">
        <v>9.1188888549804688</v>
      </c>
      <c r="J892">
        <v>9153.0450850880407</v>
      </c>
      <c r="K892">
        <v>179.72652457894</v>
      </c>
    </row>
    <row r="893" spans="1:11" x14ac:dyDescent="0.25">
      <c r="A893" t="s">
        <v>0</v>
      </c>
      <c r="B893">
        <f>VLOOKUP(C893,'[2]Ensaio 1'!$A$2:$F$28,6,FALSE)</f>
        <v>5</v>
      </c>
      <c r="C893" s="36">
        <v>960000003784731</v>
      </c>
      <c r="D893" s="36">
        <v>960000003784731</v>
      </c>
      <c r="E893" s="1">
        <f t="shared" si="13"/>
        <v>44980</v>
      </c>
      <c r="F893" s="51">
        <v>44980.540787037004</v>
      </c>
      <c r="G893" s="51">
        <v>44980.544097222199</v>
      </c>
      <c r="H893" s="52">
        <v>2.9513888888889998E-3</v>
      </c>
      <c r="I893">
        <v>12.978888511657715</v>
      </c>
      <c r="J893">
        <v>7551.1287270972298</v>
      </c>
      <c r="K893">
        <v>154.19909717167201</v>
      </c>
    </row>
    <row r="894" spans="1:11" x14ac:dyDescent="0.25">
      <c r="A894" t="s">
        <v>0</v>
      </c>
      <c r="B894">
        <f>VLOOKUP(C894,'[2]Ensaio 1'!$A$2:$F$28,6,FALSE)</f>
        <v>5</v>
      </c>
      <c r="C894" s="36">
        <v>960000003784740</v>
      </c>
      <c r="D894" s="36">
        <v>960000003784740</v>
      </c>
      <c r="E894" s="1">
        <f t="shared" si="13"/>
        <v>44980</v>
      </c>
      <c r="F894" s="51">
        <v>44980.567071759302</v>
      </c>
      <c r="G894" s="51">
        <v>44980.571250000001</v>
      </c>
      <c r="H894" s="52">
        <v>2.0138888888889999E-3</v>
      </c>
      <c r="I894">
        <v>13.609722137451172</v>
      </c>
      <c r="J894">
        <v>8575.6233805918491</v>
      </c>
      <c r="K894">
        <v>216.24752515866601</v>
      </c>
    </row>
    <row r="895" spans="1:11" x14ac:dyDescent="0.25">
      <c r="A895" t="s">
        <v>0</v>
      </c>
      <c r="B895">
        <f>VLOOKUP(C895,'[2]Ensaio 1'!$A$2:$F$28,6,FALSE)</f>
        <v>5</v>
      </c>
      <c r="C895" s="36">
        <v>960000003784699</v>
      </c>
      <c r="D895" s="36">
        <v>960000003784699</v>
      </c>
      <c r="E895" s="1">
        <f t="shared" si="13"/>
        <v>44980</v>
      </c>
      <c r="F895" s="51">
        <v>44980.572986111103</v>
      </c>
      <c r="G895" s="51">
        <v>44980.575844907398</v>
      </c>
      <c r="H895" s="52">
        <v>1.4930555555559999E-3</v>
      </c>
      <c r="I895">
        <v>13.751667022705078</v>
      </c>
      <c r="J895">
        <v>7455.7929610350202</v>
      </c>
      <c r="K895">
        <v>120.02421951248201</v>
      </c>
    </row>
    <row r="896" spans="1:11" x14ac:dyDescent="0.25">
      <c r="A896" t="s">
        <v>0</v>
      </c>
      <c r="B896">
        <f>VLOOKUP(C896,'[2]Ensaio 1'!$A$2:$F$28,6,FALSE)</f>
        <v>5</v>
      </c>
      <c r="C896" s="36">
        <v>960000003688554</v>
      </c>
      <c r="D896" s="36">
        <v>960000003688554</v>
      </c>
      <c r="E896" s="1">
        <f t="shared" si="13"/>
        <v>44980</v>
      </c>
      <c r="F896" s="51">
        <v>44980.589039351798</v>
      </c>
      <c r="G896" s="51">
        <v>44980.592835648102</v>
      </c>
      <c r="H896" s="52">
        <v>3.7268518518520002E-3</v>
      </c>
      <c r="I896">
        <v>14.136944770812988</v>
      </c>
      <c r="J896">
        <v>7612.2283504403003</v>
      </c>
      <c r="K896">
        <v>149.786477169791</v>
      </c>
    </row>
    <row r="897" spans="1:11" x14ac:dyDescent="0.25">
      <c r="A897" t="s">
        <v>0</v>
      </c>
      <c r="B897">
        <f>VLOOKUP(C897,'[2]Ensaio 1'!$A$2:$F$28,6,FALSE)</f>
        <v>5</v>
      </c>
      <c r="C897" s="36">
        <v>960000003784722</v>
      </c>
      <c r="D897" s="36">
        <v>960000003784722</v>
      </c>
      <c r="E897" s="1">
        <f t="shared" si="13"/>
        <v>44980</v>
      </c>
      <c r="F897" s="51">
        <v>44980.636898148201</v>
      </c>
      <c r="G897" s="51">
        <v>44980.640393518501</v>
      </c>
      <c r="H897" s="52">
        <v>3.3912037037040002E-3</v>
      </c>
      <c r="I897">
        <v>15.285555839538574</v>
      </c>
      <c r="J897">
        <v>8426.5419707968704</v>
      </c>
      <c r="K897">
        <v>208.213495111979</v>
      </c>
    </row>
    <row r="898" spans="1:11" x14ac:dyDescent="0.25">
      <c r="A898" t="s">
        <v>0</v>
      </c>
      <c r="B898">
        <f>VLOOKUP(C898,'[2]Ensaio 1'!$A$2:$F$28,6,FALSE)</f>
        <v>5</v>
      </c>
      <c r="C898" s="36">
        <v>960000003784731</v>
      </c>
      <c r="D898" s="36">
        <v>960000003784731</v>
      </c>
      <c r="E898" s="1">
        <f t="shared" ref="E898:E961" si="14">ROUNDDOWN(LEFT(F898,10),0)</f>
        <v>44980</v>
      </c>
      <c r="F898" s="51">
        <v>44980.783379629604</v>
      </c>
      <c r="G898" s="51">
        <v>44980.787025463003</v>
      </c>
      <c r="H898" s="52">
        <v>3.275462962963E-3</v>
      </c>
      <c r="I898">
        <v>18.801111221313477</v>
      </c>
      <c r="J898">
        <v>9009.3118254109995</v>
      </c>
      <c r="K898">
        <v>233.37674499786399</v>
      </c>
    </row>
    <row r="899" spans="1:11" x14ac:dyDescent="0.25">
      <c r="A899" t="s">
        <v>0</v>
      </c>
      <c r="B899">
        <f>VLOOKUP(C899,'[2]Ensaio 1'!$A$2:$F$28,6,FALSE)</f>
        <v>5</v>
      </c>
      <c r="C899" s="36">
        <v>960000003784699</v>
      </c>
      <c r="D899" s="36">
        <v>960000003784699</v>
      </c>
      <c r="E899" s="1">
        <f t="shared" si="14"/>
        <v>44980</v>
      </c>
      <c r="F899" s="51">
        <v>44980.794664351903</v>
      </c>
      <c r="G899" s="51">
        <v>44980.798159722202</v>
      </c>
      <c r="H899" s="52">
        <v>2.7199074074070002E-3</v>
      </c>
      <c r="I899">
        <v>19.071945190429688</v>
      </c>
      <c r="J899">
        <v>8557.8929395077503</v>
      </c>
      <c r="K899">
        <v>171.735694509448</v>
      </c>
    </row>
    <row r="900" spans="1:11" x14ac:dyDescent="0.25">
      <c r="A900" t="s">
        <v>0</v>
      </c>
      <c r="B900">
        <f>VLOOKUP(C900,'[2]Ensaio 1'!$A$2:$F$28,6,FALSE)</f>
        <v>5</v>
      </c>
      <c r="C900" s="36">
        <v>960000003688554</v>
      </c>
      <c r="D900" s="36">
        <v>960000003688554</v>
      </c>
      <c r="E900" s="1">
        <f t="shared" si="14"/>
        <v>44980</v>
      </c>
      <c r="F900" s="51">
        <v>44980.799849536997</v>
      </c>
      <c r="G900" s="51">
        <v>44980.803298611099</v>
      </c>
      <c r="H900" s="52">
        <v>3.3217592592590002E-3</v>
      </c>
      <c r="I900">
        <v>19.196388244628906</v>
      </c>
      <c r="J900">
        <v>10109.4140254144</v>
      </c>
      <c r="K900">
        <v>217.70671522113699</v>
      </c>
    </row>
    <row r="901" spans="1:11" x14ac:dyDescent="0.25">
      <c r="A901" t="s">
        <v>0</v>
      </c>
      <c r="B901">
        <f>VLOOKUP(C901,'[2]Ensaio 1'!$A$2:$F$28,6,FALSE)</f>
        <v>5</v>
      </c>
      <c r="C901" s="36">
        <v>960000003784722</v>
      </c>
      <c r="D901" s="36">
        <v>960000003784722</v>
      </c>
      <c r="E901" s="1">
        <f t="shared" si="14"/>
        <v>44980</v>
      </c>
      <c r="F901" s="51">
        <v>44980.880312499998</v>
      </c>
      <c r="G901" s="51">
        <v>44980.8837152778</v>
      </c>
      <c r="H901" s="52">
        <v>3.3449074074069999E-3</v>
      </c>
      <c r="I901">
        <v>21.127500534057617</v>
      </c>
      <c r="J901">
        <v>9107.2944043845491</v>
      </c>
      <c r="K901">
        <v>221.89528582826401</v>
      </c>
    </row>
    <row r="902" spans="1:11" x14ac:dyDescent="0.25">
      <c r="A902" t="s">
        <v>0</v>
      </c>
      <c r="B902">
        <f>VLOOKUP(C902,'[2]Ensaio 1'!$A$2:$F$28,6,FALSE)</f>
        <v>5</v>
      </c>
      <c r="C902" s="36">
        <v>960000003784731</v>
      </c>
      <c r="D902" s="36">
        <v>960000003784731</v>
      </c>
      <c r="E902" s="1">
        <f t="shared" si="14"/>
        <v>44981</v>
      </c>
      <c r="F902" s="51">
        <v>44981.020925925899</v>
      </c>
      <c r="G902" s="51">
        <v>44981.024409722202</v>
      </c>
      <c r="H902" s="52">
        <v>3.333333333333E-3</v>
      </c>
      <c r="I902">
        <v>0.502222239971161</v>
      </c>
      <c r="J902">
        <v>9720.0908598093501</v>
      </c>
      <c r="K902">
        <v>224.55284795902401</v>
      </c>
    </row>
    <row r="903" spans="1:11" x14ac:dyDescent="0.25">
      <c r="A903" t="s">
        <v>0</v>
      </c>
      <c r="B903">
        <f>VLOOKUP(C903,'[2]Ensaio 1'!$A$2:$F$28,6,FALSE)</f>
        <v>5</v>
      </c>
      <c r="C903" s="36">
        <v>960000003688554</v>
      </c>
      <c r="D903" s="36">
        <v>960000003688554</v>
      </c>
      <c r="E903" s="1">
        <f t="shared" si="14"/>
        <v>44981</v>
      </c>
      <c r="F903" s="51">
        <v>44981.0461574074</v>
      </c>
      <c r="G903" s="51">
        <v>44981.049780092602</v>
      </c>
      <c r="H903" s="52">
        <v>3.5532407407409998E-3</v>
      </c>
      <c r="I903">
        <v>1.1077778339385991</v>
      </c>
      <c r="J903">
        <v>9923.2091033776105</v>
      </c>
      <c r="K903">
        <v>191.57579831031899</v>
      </c>
    </row>
    <row r="904" spans="1:11" x14ac:dyDescent="0.25">
      <c r="A904" t="s">
        <v>0</v>
      </c>
      <c r="B904">
        <f>VLOOKUP(C904,'[2]Ensaio 1'!$A$2:$F$28,6,FALSE)</f>
        <v>5</v>
      </c>
      <c r="C904" s="36">
        <v>960000003784740</v>
      </c>
      <c r="D904" s="36">
        <v>960000003784740</v>
      </c>
      <c r="E904" s="1">
        <f t="shared" si="14"/>
        <v>44981</v>
      </c>
      <c r="F904" s="51">
        <v>44981.051446759302</v>
      </c>
      <c r="G904" s="51">
        <v>44981.0562152778</v>
      </c>
      <c r="H904" s="52">
        <v>2.8472222222219999E-3</v>
      </c>
      <c r="I904">
        <v>1.234722256660461</v>
      </c>
      <c r="J904">
        <v>9230.5002126995296</v>
      </c>
      <c r="K904">
        <v>238.40527219890899</v>
      </c>
    </row>
    <row r="905" spans="1:11" x14ac:dyDescent="0.25">
      <c r="A905" t="s">
        <v>0</v>
      </c>
      <c r="B905">
        <f>VLOOKUP(C905,'[2]Ensaio 1'!$A$2:$F$28,6,FALSE)</f>
        <v>5</v>
      </c>
      <c r="C905" s="36">
        <v>960000003784699</v>
      </c>
      <c r="D905" s="36">
        <v>960000003784699</v>
      </c>
      <c r="E905" s="1">
        <f t="shared" si="14"/>
        <v>44981</v>
      </c>
      <c r="F905" s="51">
        <v>44981.057731481502</v>
      </c>
      <c r="G905" s="51">
        <v>44981.0608333333</v>
      </c>
      <c r="H905" s="52">
        <v>2.87037037037E-3</v>
      </c>
      <c r="I905">
        <v>1.385555505752563</v>
      </c>
      <c r="J905">
        <v>9179.8779766317693</v>
      </c>
      <c r="K905">
        <v>139.242106024713</v>
      </c>
    </row>
    <row r="906" spans="1:11" x14ac:dyDescent="0.25">
      <c r="A906" t="s">
        <v>0</v>
      </c>
      <c r="B906">
        <f>VLOOKUP(C906,'[2]Ensaio 1'!$A$2:$F$28,6,FALSE)</f>
        <v>5</v>
      </c>
      <c r="C906" s="36">
        <v>960000003784722</v>
      </c>
      <c r="D906" s="36">
        <v>960000003784722</v>
      </c>
      <c r="E906" s="1">
        <f t="shared" si="14"/>
        <v>44981</v>
      </c>
      <c r="F906" s="51">
        <v>44981.062395833302</v>
      </c>
      <c r="G906" s="51">
        <v>44981.066516203697</v>
      </c>
      <c r="H906" s="52">
        <v>3.541666666667E-3</v>
      </c>
      <c r="I906">
        <v>1.497499942779541</v>
      </c>
      <c r="J906">
        <v>9350.2494033099592</v>
      </c>
      <c r="K906">
        <v>163.14051605348499</v>
      </c>
    </row>
    <row r="907" spans="1:11" x14ac:dyDescent="0.25">
      <c r="A907" t="s">
        <v>0</v>
      </c>
      <c r="B907">
        <f>VLOOKUP(C907,'[2]Ensaio 1'!$A$2:$F$28,6,FALSE)</f>
        <v>5</v>
      </c>
      <c r="C907" s="36">
        <v>960000003784731</v>
      </c>
      <c r="D907" s="36">
        <v>960000003784731</v>
      </c>
      <c r="E907" s="1">
        <f t="shared" si="14"/>
        <v>44981</v>
      </c>
      <c r="F907" s="51">
        <v>44981.265046296299</v>
      </c>
      <c r="G907" s="51">
        <v>44981.268379629597</v>
      </c>
      <c r="H907" s="52">
        <v>3.1944444444440001E-3</v>
      </c>
      <c r="I907">
        <v>6.3611111640930176</v>
      </c>
      <c r="J907">
        <v>7943.4665322662604</v>
      </c>
      <c r="K907">
        <v>139.91582520440301</v>
      </c>
    </row>
    <row r="908" spans="1:11" x14ac:dyDescent="0.25">
      <c r="A908" t="s">
        <v>0</v>
      </c>
      <c r="B908">
        <f>VLOOKUP(C908,'[2]Ensaio 1'!$A$2:$F$28,6,FALSE)</f>
        <v>5</v>
      </c>
      <c r="C908" s="36">
        <v>960000003784722</v>
      </c>
      <c r="D908" s="36">
        <v>960000003784722</v>
      </c>
      <c r="E908" s="1">
        <f t="shared" si="14"/>
        <v>44981</v>
      </c>
      <c r="F908" s="51">
        <v>44981.286886574097</v>
      </c>
      <c r="G908" s="51">
        <v>44981.290497685201</v>
      </c>
      <c r="H908" s="52">
        <v>3.5532407407409998E-3</v>
      </c>
      <c r="I908">
        <v>6.8852777481079102</v>
      </c>
      <c r="J908">
        <v>8125.1519800743299</v>
      </c>
      <c r="K908">
        <v>145.65304116891701</v>
      </c>
    </row>
    <row r="909" spans="1:11" x14ac:dyDescent="0.25">
      <c r="A909" t="s">
        <v>0</v>
      </c>
      <c r="B909">
        <f>VLOOKUP(C909,'[2]Ensaio 1'!$A$2:$F$28,6,FALSE)</f>
        <v>5</v>
      </c>
      <c r="C909" s="36">
        <v>960000003784740</v>
      </c>
      <c r="D909" s="36">
        <v>960000003784740</v>
      </c>
      <c r="E909" s="1">
        <f t="shared" si="14"/>
        <v>44981</v>
      </c>
      <c r="F909" s="51">
        <v>44981.302928240701</v>
      </c>
      <c r="G909" s="51">
        <v>44981.308854166702</v>
      </c>
      <c r="H909" s="52">
        <v>3.275462962963E-3</v>
      </c>
      <c r="I909">
        <v>7.2702779769897461</v>
      </c>
      <c r="J909">
        <v>8746.9461787387809</v>
      </c>
      <c r="K909">
        <v>144.58708389787199</v>
      </c>
    </row>
    <row r="910" spans="1:11" x14ac:dyDescent="0.25">
      <c r="A910" t="s">
        <v>0</v>
      </c>
      <c r="B910">
        <f>VLOOKUP(C910,'[2]Ensaio 1'!$A$2:$F$28,6,FALSE)</f>
        <v>5</v>
      </c>
      <c r="C910" s="36">
        <v>960000003784699</v>
      </c>
      <c r="D910" s="36">
        <v>960000003784699</v>
      </c>
      <c r="E910" s="1">
        <f t="shared" si="14"/>
        <v>44981</v>
      </c>
      <c r="F910" s="51">
        <v>44981.309791666703</v>
      </c>
      <c r="G910" s="51">
        <v>44981.318263888897</v>
      </c>
      <c r="H910" s="52">
        <v>3.275462962963E-3</v>
      </c>
      <c r="I910">
        <v>7.434999942779541</v>
      </c>
      <c r="J910">
        <v>8373.10059797135</v>
      </c>
      <c r="K910">
        <v>149.941158596598</v>
      </c>
    </row>
    <row r="911" spans="1:11" x14ac:dyDescent="0.25">
      <c r="A911" t="s">
        <v>0</v>
      </c>
      <c r="B911">
        <f>VLOOKUP(C911,'[2]Ensaio 1'!$A$2:$F$28,6,FALSE)</f>
        <v>5</v>
      </c>
      <c r="C911" s="36">
        <v>960000003688554</v>
      </c>
      <c r="D911" s="36">
        <v>960000003688554</v>
      </c>
      <c r="E911" s="1">
        <f t="shared" si="14"/>
        <v>44981</v>
      </c>
      <c r="F911" s="51">
        <v>44981.3528703704</v>
      </c>
      <c r="G911" s="51">
        <v>44981.356203703697</v>
      </c>
      <c r="H911" s="52">
        <v>3.1944444444440001E-3</v>
      </c>
      <c r="I911">
        <v>8.4688892364501953</v>
      </c>
      <c r="J911">
        <v>9296.8638910429709</v>
      </c>
      <c r="K911">
        <v>223.214178207044</v>
      </c>
    </row>
    <row r="912" spans="1:11" x14ac:dyDescent="0.25">
      <c r="A912" t="s">
        <v>0</v>
      </c>
      <c r="B912">
        <f>VLOOKUP(C912,'[2]Ensaio 1'!$A$2:$F$28,6,FALSE)</f>
        <v>5</v>
      </c>
      <c r="C912" s="36">
        <v>960000003784731</v>
      </c>
      <c r="D912" s="36">
        <v>960000003784731</v>
      </c>
      <c r="E912" s="1">
        <f t="shared" si="14"/>
        <v>44981</v>
      </c>
      <c r="F912" s="51">
        <v>44981.477800925903</v>
      </c>
      <c r="G912" s="51">
        <v>44981.481261574103</v>
      </c>
      <c r="H912" s="52">
        <v>3.3449074074069999E-3</v>
      </c>
      <c r="I912">
        <v>11.467222213745117</v>
      </c>
      <c r="J912">
        <v>8318.2176365584492</v>
      </c>
      <c r="K912">
        <v>203.58946289579799</v>
      </c>
    </row>
    <row r="913" spans="1:11" x14ac:dyDescent="0.25">
      <c r="A913" t="s">
        <v>0</v>
      </c>
      <c r="B913">
        <f>VLOOKUP(C913,'[2]Ensaio 1'!$A$2:$F$28,6,FALSE)</f>
        <v>5</v>
      </c>
      <c r="C913" s="36">
        <v>960000003784731</v>
      </c>
      <c r="D913" s="36">
        <v>960000003784731</v>
      </c>
      <c r="E913" s="1">
        <f t="shared" si="14"/>
        <v>44981</v>
      </c>
      <c r="F913" s="51">
        <v>44981.488356481503</v>
      </c>
      <c r="G913" s="51">
        <v>44981.490231481497</v>
      </c>
      <c r="H913" s="52">
        <v>1.435185185185E-3</v>
      </c>
      <c r="I913">
        <v>11.720555305480957</v>
      </c>
      <c r="J913">
        <v>5586.9024391612302</v>
      </c>
      <c r="K913">
        <v>171.422237597872</v>
      </c>
    </row>
    <row r="914" spans="1:11" x14ac:dyDescent="0.25">
      <c r="A914" t="s">
        <v>0</v>
      </c>
      <c r="B914">
        <f>VLOOKUP(C914,'[2]Ensaio 1'!$A$2:$F$28,6,FALSE)</f>
        <v>5</v>
      </c>
      <c r="C914" s="36">
        <v>960000003784722</v>
      </c>
      <c r="D914" s="36">
        <v>960000003784722</v>
      </c>
      <c r="E914" s="1">
        <f t="shared" si="14"/>
        <v>44981</v>
      </c>
      <c r="F914" s="51">
        <v>44981.517129629603</v>
      </c>
      <c r="G914" s="51">
        <v>44981.520578703698</v>
      </c>
      <c r="H914" s="52">
        <v>3.0092592592589999E-3</v>
      </c>
      <c r="I914">
        <v>12.411110877990723</v>
      </c>
      <c r="J914">
        <v>7499.6114811745601</v>
      </c>
      <c r="K914">
        <v>104.60340732063</v>
      </c>
    </row>
    <row r="915" spans="1:11" x14ac:dyDescent="0.25">
      <c r="A915" t="s">
        <v>0</v>
      </c>
      <c r="B915">
        <f>VLOOKUP(C915,'[2]Ensaio 1'!$A$2:$F$28,6,FALSE)</f>
        <v>5</v>
      </c>
      <c r="C915" s="36">
        <v>960000003784699</v>
      </c>
      <c r="D915" s="36">
        <v>960000003784699</v>
      </c>
      <c r="E915" s="1">
        <f t="shared" si="14"/>
        <v>44981</v>
      </c>
      <c r="F915" s="51">
        <v>44981.531574074099</v>
      </c>
      <c r="G915" s="51">
        <v>44981.536053240699</v>
      </c>
      <c r="H915" s="52">
        <v>3.4143518518519999E-3</v>
      </c>
      <c r="I915">
        <v>12.757778167724609</v>
      </c>
      <c r="J915">
        <v>6923.5595829747999</v>
      </c>
      <c r="K915">
        <v>125.53527227794601</v>
      </c>
    </row>
    <row r="916" spans="1:11" x14ac:dyDescent="0.25">
      <c r="A916" t="s">
        <v>0</v>
      </c>
      <c r="B916">
        <f>VLOOKUP(C916,'[2]Ensaio 1'!$A$2:$F$28,6,FALSE)</f>
        <v>5</v>
      </c>
      <c r="C916" s="36">
        <v>960000003784740</v>
      </c>
      <c r="D916" s="36">
        <v>960000003784740</v>
      </c>
      <c r="E916" s="1">
        <f t="shared" si="14"/>
        <v>44981</v>
      </c>
      <c r="F916" s="51">
        <v>44981.5559027778</v>
      </c>
      <c r="G916" s="51">
        <v>44981.559027777803</v>
      </c>
      <c r="H916" s="52">
        <v>3.0787037037039999E-3</v>
      </c>
      <c r="I916">
        <v>13.341666221618652</v>
      </c>
      <c r="J916">
        <v>8444.6940366710205</v>
      </c>
      <c r="K916">
        <v>301.80982862520602</v>
      </c>
    </row>
    <row r="917" spans="1:11" x14ac:dyDescent="0.25">
      <c r="A917" t="s">
        <v>0</v>
      </c>
      <c r="B917">
        <f>VLOOKUP(C917,'[2]Ensaio 1'!$A$2:$F$28,6,FALSE)</f>
        <v>5</v>
      </c>
      <c r="C917" s="36">
        <v>960000003688554</v>
      </c>
      <c r="D917" s="36">
        <v>960000003688554</v>
      </c>
      <c r="E917" s="1">
        <f t="shared" si="14"/>
        <v>44981</v>
      </c>
      <c r="F917" s="51">
        <v>44981.585648148102</v>
      </c>
      <c r="G917" s="51">
        <v>44981.588888888902</v>
      </c>
      <c r="H917" s="52">
        <v>3.1944444444440001E-3</v>
      </c>
      <c r="I917">
        <v>14.05555534362793</v>
      </c>
      <c r="J917">
        <v>9340.7404380490207</v>
      </c>
      <c r="K917">
        <v>204.80823710605</v>
      </c>
    </row>
    <row r="918" spans="1:11" x14ac:dyDescent="0.25">
      <c r="A918" t="s">
        <v>0</v>
      </c>
      <c r="B918">
        <f>VLOOKUP(C918,'[2]Ensaio 1'!$A$2:$F$28,6,FALSE)</f>
        <v>5</v>
      </c>
      <c r="C918" s="36">
        <v>960000003784731</v>
      </c>
      <c r="D918" s="36">
        <v>960000003784731</v>
      </c>
      <c r="E918" s="1">
        <f t="shared" si="14"/>
        <v>44981</v>
      </c>
      <c r="F918" s="51">
        <v>44981.690405092602</v>
      </c>
      <c r="G918" s="51">
        <v>44981.693796296298</v>
      </c>
      <c r="H918" s="52">
        <v>3.240740740741E-3</v>
      </c>
      <c r="I918">
        <v>16.569723129272461</v>
      </c>
      <c r="J918">
        <v>8347.3223308040597</v>
      </c>
      <c r="K918">
        <v>169.152882594825</v>
      </c>
    </row>
    <row r="919" spans="1:11" x14ac:dyDescent="0.25">
      <c r="A919" t="s">
        <v>0</v>
      </c>
      <c r="B919">
        <f>VLOOKUP(C919,'[2]Ensaio 1'!$A$2:$F$28,6,FALSE)</f>
        <v>5</v>
      </c>
      <c r="C919" s="36">
        <v>960000003784722</v>
      </c>
      <c r="D919" s="36">
        <v>960000003784722</v>
      </c>
      <c r="E919" s="1">
        <f t="shared" si="14"/>
        <v>44981</v>
      </c>
      <c r="F919" s="51">
        <v>44981.739849537</v>
      </c>
      <c r="G919" s="51">
        <v>44981.743541666699</v>
      </c>
      <c r="H919" s="52">
        <v>3.6226851851850002E-3</v>
      </c>
      <c r="I919">
        <v>17.756389617919922</v>
      </c>
      <c r="J919">
        <v>10592.196386547999</v>
      </c>
      <c r="K919">
        <v>220.78028156049601</v>
      </c>
    </row>
    <row r="920" spans="1:11" x14ac:dyDescent="0.25">
      <c r="A920" t="s">
        <v>0</v>
      </c>
      <c r="B920">
        <f>VLOOKUP(C920,'[2]Ensaio 1'!$A$2:$F$28,6,FALSE)</f>
        <v>5</v>
      </c>
      <c r="C920" s="36">
        <v>960000003784699</v>
      </c>
      <c r="D920" s="36">
        <v>960000003784699</v>
      </c>
      <c r="E920" s="1">
        <f t="shared" si="14"/>
        <v>44981</v>
      </c>
      <c r="F920" s="51">
        <v>44981.764027777797</v>
      </c>
      <c r="G920" s="51">
        <v>44981.769363425898</v>
      </c>
      <c r="H920" s="52">
        <v>4.6296296296299997E-3</v>
      </c>
      <c r="I920">
        <v>18.336666107177734</v>
      </c>
      <c r="J920">
        <v>10426.134569268699</v>
      </c>
      <c r="K920">
        <v>199.64613240864699</v>
      </c>
    </row>
    <row r="921" spans="1:11" x14ac:dyDescent="0.25">
      <c r="A921" t="s">
        <v>0</v>
      </c>
      <c r="B921">
        <f>VLOOKUP(C921,'[2]Ensaio 1'!$A$2:$F$28,6,FALSE)</f>
        <v>5</v>
      </c>
      <c r="C921" s="36">
        <v>960000003784740</v>
      </c>
      <c r="D921" s="36">
        <v>960000003784740</v>
      </c>
      <c r="E921" s="1">
        <f t="shared" si="14"/>
        <v>44981</v>
      </c>
      <c r="F921" s="51">
        <v>44981.781064814801</v>
      </c>
      <c r="G921" s="51">
        <v>44981.785381944399</v>
      </c>
      <c r="H921" s="52">
        <v>3.0208333333330002E-3</v>
      </c>
      <c r="I921">
        <v>18.745555877685547</v>
      </c>
      <c r="J921">
        <v>9638.3409880536401</v>
      </c>
      <c r="K921">
        <v>269.79661993718003</v>
      </c>
    </row>
    <row r="922" spans="1:11" x14ac:dyDescent="0.25">
      <c r="A922" t="s">
        <v>0</v>
      </c>
      <c r="B922">
        <f>VLOOKUP(C922,'[2]Ensaio 1'!$A$2:$F$28,6,FALSE)</f>
        <v>5</v>
      </c>
      <c r="C922" s="36">
        <v>960000003688554</v>
      </c>
      <c r="D922" s="36">
        <v>960000003688554</v>
      </c>
      <c r="E922" s="1">
        <f t="shared" si="14"/>
        <v>44981</v>
      </c>
      <c r="F922" s="51">
        <v>44981.810740740701</v>
      </c>
      <c r="G922" s="51">
        <v>44981.814143518503</v>
      </c>
      <c r="H922" s="52">
        <v>3.3564814814810002E-3</v>
      </c>
      <c r="I922">
        <v>19.45777702331543</v>
      </c>
      <c r="J922">
        <v>10288.094488774601</v>
      </c>
      <c r="K922">
        <v>244.39185098720901</v>
      </c>
    </row>
    <row r="923" spans="1:11" x14ac:dyDescent="0.25">
      <c r="A923" t="s">
        <v>0</v>
      </c>
      <c r="B923">
        <f>VLOOKUP(C923,'[2]Ensaio 1'!$A$2:$F$28,6,FALSE)</f>
        <v>5</v>
      </c>
      <c r="C923" s="36">
        <v>960000003784731</v>
      </c>
      <c r="D923" s="36">
        <v>960000003784731</v>
      </c>
      <c r="E923" s="1">
        <f t="shared" si="14"/>
        <v>44981</v>
      </c>
      <c r="F923" s="51">
        <v>44981.973564814798</v>
      </c>
      <c r="G923" s="51">
        <v>44981.976863425902</v>
      </c>
      <c r="H923" s="52">
        <v>3.206018518519E-3</v>
      </c>
      <c r="I923">
        <v>23.365554809570313</v>
      </c>
      <c r="J923">
        <v>10693.2175941961</v>
      </c>
      <c r="K923">
        <v>225.84501796241301</v>
      </c>
    </row>
    <row r="924" spans="1:11" x14ac:dyDescent="0.25">
      <c r="A924" t="s">
        <v>0</v>
      </c>
      <c r="B924">
        <f>VLOOKUP(C924,'[2]Ensaio 1'!$A$2:$F$28,6,FALSE)</f>
        <v>5</v>
      </c>
      <c r="C924" s="36">
        <v>960000003784722</v>
      </c>
      <c r="D924" s="36">
        <v>960000003784722</v>
      </c>
      <c r="E924" s="1">
        <f t="shared" si="14"/>
        <v>44981</v>
      </c>
      <c r="F924" s="51">
        <v>44981.978831018503</v>
      </c>
      <c r="G924" s="51">
        <v>44981.982592592598</v>
      </c>
      <c r="H924" s="52">
        <v>3.703703703704E-3</v>
      </c>
      <c r="I924">
        <v>23.491945266723633</v>
      </c>
      <c r="J924">
        <v>9172.7832966188798</v>
      </c>
      <c r="K924">
        <v>177.197282541009</v>
      </c>
    </row>
    <row r="925" spans="1:11" x14ac:dyDescent="0.25">
      <c r="A925" t="s">
        <v>0</v>
      </c>
      <c r="B925">
        <f>VLOOKUP(C925,'[2]Ensaio 1'!$A$2:$F$28,6,FALSE)</f>
        <v>5</v>
      </c>
      <c r="C925" s="36">
        <v>960000003784699</v>
      </c>
      <c r="D925" s="36">
        <v>960000003784699</v>
      </c>
      <c r="E925" s="1">
        <f t="shared" si="14"/>
        <v>44981</v>
      </c>
      <c r="F925" s="51">
        <v>44981.983495370398</v>
      </c>
      <c r="G925" s="51">
        <v>44981.986597222203</v>
      </c>
      <c r="H925" s="52">
        <v>2.8587962962960001E-3</v>
      </c>
      <c r="I925">
        <v>23.603889465332031</v>
      </c>
      <c r="J925">
        <v>9159.7648402786599</v>
      </c>
      <c r="K925">
        <v>132.658886002548</v>
      </c>
    </row>
    <row r="926" spans="1:11" x14ac:dyDescent="0.25">
      <c r="A926" t="s">
        <v>0</v>
      </c>
      <c r="B926">
        <f>VLOOKUP(C926,'[2]Ensaio 1'!$A$2:$F$28,6,FALSE)</f>
        <v>5</v>
      </c>
      <c r="C926" s="36">
        <v>960000003784731</v>
      </c>
      <c r="D926" s="36">
        <v>960000003784731</v>
      </c>
      <c r="E926" s="1">
        <f t="shared" si="14"/>
        <v>44982</v>
      </c>
      <c r="F926" s="51">
        <v>44982.012118055602</v>
      </c>
      <c r="G926" s="51">
        <v>44982.0152199074</v>
      </c>
      <c r="H926" s="52">
        <v>3.0555555555559998E-3</v>
      </c>
      <c r="I926">
        <v>0.29083332419395402</v>
      </c>
      <c r="J926">
        <v>9738.9687606679308</v>
      </c>
      <c r="K926">
        <v>264.91972288617802</v>
      </c>
    </row>
    <row r="927" spans="1:11" x14ac:dyDescent="0.25">
      <c r="A927" t="s">
        <v>0</v>
      </c>
      <c r="B927">
        <f>VLOOKUP(C927,'[2]Ensaio 1'!$A$2:$F$28,6,FALSE)</f>
        <v>5</v>
      </c>
      <c r="C927" s="36">
        <v>960000003784722</v>
      </c>
      <c r="D927" s="36">
        <v>960000003784722</v>
      </c>
      <c r="E927" s="1">
        <f t="shared" si="14"/>
        <v>44982</v>
      </c>
      <c r="F927" s="51">
        <v>44982.059965277796</v>
      </c>
      <c r="G927" s="51">
        <v>44982.065960648099</v>
      </c>
      <c r="H927" s="52">
        <v>3.4490740740739999E-3</v>
      </c>
      <c r="I927">
        <v>1.439166665077209</v>
      </c>
      <c r="J927">
        <v>9505.5084024651405</v>
      </c>
      <c r="K927">
        <v>204.54335944438</v>
      </c>
    </row>
    <row r="928" spans="1:11" x14ac:dyDescent="0.25">
      <c r="A928" t="s">
        <v>0</v>
      </c>
      <c r="B928">
        <f>VLOOKUP(C928,'[2]Ensaio 1'!$A$2:$F$28,6,FALSE)</f>
        <v>5</v>
      </c>
      <c r="C928" s="36">
        <v>960000003688554</v>
      </c>
      <c r="D928" s="36">
        <v>960000003688554</v>
      </c>
      <c r="E928" s="1">
        <f t="shared" si="14"/>
        <v>44982</v>
      </c>
      <c r="F928" s="51">
        <v>44982.066689814797</v>
      </c>
      <c r="G928" s="51">
        <v>44982.069675925901</v>
      </c>
      <c r="H928" s="52">
        <v>2.8472222222219999E-3</v>
      </c>
      <c r="I928">
        <v>1.600555539131165</v>
      </c>
      <c r="J928">
        <v>9555.4371575760197</v>
      </c>
      <c r="K928">
        <v>208.35966556059199</v>
      </c>
    </row>
    <row r="929" spans="1:11" x14ac:dyDescent="0.25">
      <c r="A929" t="s">
        <v>0</v>
      </c>
      <c r="B929">
        <f>VLOOKUP(C929,'[2]Ensaio 1'!$A$2:$F$28,6,FALSE)</f>
        <v>5</v>
      </c>
      <c r="C929" s="36">
        <v>960000003784731</v>
      </c>
      <c r="D929" s="36">
        <v>960000003784731</v>
      </c>
      <c r="E929" s="1">
        <f t="shared" si="14"/>
        <v>44982</v>
      </c>
      <c r="F929" s="51">
        <v>44982.079143518502</v>
      </c>
      <c r="G929" s="51">
        <v>44982.080833333297</v>
      </c>
      <c r="H929" s="52">
        <v>1.5740740740739999E-3</v>
      </c>
      <c r="I929">
        <v>1.899444460868835</v>
      </c>
      <c r="J929">
        <v>9539.1462609940099</v>
      </c>
      <c r="K929">
        <v>208.87653059355699</v>
      </c>
    </row>
    <row r="930" spans="1:11" x14ac:dyDescent="0.25">
      <c r="A930" t="s">
        <v>0</v>
      </c>
      <c r="B930">
        <f>VLOOKUP(C930,'[2]Ensaio 1'!$A$2:$F$28,6,FALSE)</f>
        <v>5</v>
      </c>
      <c r="C930" s="36">
        <v>960000003784740</v>
      </c>
      <c r="D930" s="36">
        <v>960000003784740</v>
      </c>
      <c r="E930" s="1">
        <f t="shared" si="14"/>
        <v>44982</v>
      </c>
      <c r="F930" s="51">
        <v>44982.1106828704</v>
      </c>
      <c r="G930" s="51">
        <v>44982.1141319444</v>
      </c>
      <c r="H930" s="52">
        <v>3.2638888888890001E-3</v>
      </c>
      <c r="I930">
        <v>2.6563889980316162</v>
      </c>
      <c r="J930">
        <v>9957.4749991999797</v>
      </c>
      <c r="K930">
        <v>249.58188236343801</v>
      </c>
    </row>
    <row r="931" spans="1:11" x14ac:dyDescent="0.25">
      <c r="A931" t="s">
        <v>0</v>
      </c>
      <c r="B931">
        <f>VLOOKUP(C931,'[2]Ensaio 1'!$A$2:$F$28,6,FALSE)</f>
        <v>5</v>
      </c>
      <c r="C931" s="36">
        <v>960000003784699</v>
      </c>
      <c r="D931" s="36">
        <v>960000003784699</v>
      </c>
      <c r="E931" s="1">
        <f t="shared" si="14"/>
        <v>44982</v>
      </c>
      <c r="F931" s="51">
        <v>44982.115196759303</v>
      </c>
      <c r="G931" s="51">
        <v>44982.119062500002</v>
      </c>
      <c r="H931" s="52">
        <v>2.6967592592590001E-3</v>
      </c>
      <c r="I931">
        <v>2.7647221088409419</v>
      </c>
      <c r="J931">
        <v>10179.124231208099</v>
      </c>
      <c r="K931">
        <v>125.103900385133</v>
      </c>
    </row>
    <row r="932" spans="1:11" x14ac:dyDescent="0.25">
      <c r="A932" t="s">
        <v>0</v>
      </c>
      <c r="B932">
        <f>VLOOKUP(C932,'[2]Ensaio 1'!$A$2:$F$28,6,FALSE)</f>
        <v>5</v>
      </c>
      <c r="C932" s="36">
        <v>960000003784731</v>
      </c>
      <c r="D932" s="36">
        <v>960000003784731</v>
      </c>
      <c r="E932" s="1">
        <f t="shared" si="14"/>
        <v>44982</v>
      </c>
      <c r="F932" s="51">
        <v>44982.248969907399</v>
      </c>
      <c r="G932" s="51">
        <v>44982.252175925903</v>
      </c>
      <c r="H932" s="52">
        <v>3.1250000000000002E-3</v>
      </c>
      <c r="I932">
        <v>5.9752779006958008</v>
      </c>
      <c r="J932">
        <v>9159.2528756094998</v>
      </c>
      <c r="K932">
        <v>192.17710978917401</v>
      </c>
    </row>
    <row r="933" spans="1:11" x14ac:dyDescent="0.25">
      <c r="A933" t="s">
        <v>0</v>
      </c>
      <c r="B933">
        <f>VLOOKUP(C933,'[2]Ensaio 1'!$A$2:$F$28,6,FALSE)</f>
        <v>5</v>
      </c>
      <c r="C933" s="36">
        <v>960000003784740</v>
      </c>
      <c r="D933" s="36">
        <v>960000003784740</v>
      </c>
      <c r="E933" s="1">
        <f t="shared" si="14"/>
        <v>44982</v>
      </c>
      <c r="F933" s="51">
        <v>44982.290104166699</v>
      </c>
      <c r="G933" s="51">
        <v>44982.292766203696</v>
      </c>
      <c r="H933" s="52">
        <v>2.4537037037039998E-3</v>
      </c>
      <c r="I933">
        <v>6.9625000953674316</v>
      </c>
      <c r="J933">
        <v>7957.7255809031903</v>
      </c>
      <c r="K933">
        <v>179.981695933315</v>
      </c>
    </row>
    <row r="934" spans="1:11" x14ac:dyDescent="0.25">
      <c r="A934" t="s">
        <v>0</v>
      </c>
      <c r="B934">
        <f>VLOOKUP(C934,'[2]Ensaio 1'!$A$2:$F$28,6,FALSE)</f>
        <v>5</v>
      </c>
      <c r="C934" s="36">
        <v>960000003784722</v>
      </c>
      <c r="D934" s="36">
        <v>960000003784722</v>
      </c>
      <c r="E934" s="1">
        <f t="shared" si="14"/>
        <v>44982</v>
      </c>
      <c r="F934" s="51">
        <v>44982.299432870401</v>
      </c>
      <c r="G934" s="51">
        <v>44982.302835648101</v>
      </c>
      <c r="H934" s="52">
        <v>3.2870370370369998E-3</v>
      </c>
      <c r="I934">
        <v>7.1863889694213867</v>
      </c>
      <c r="J934">
        <v>7899.9365126940802</v>
      </c>
      <c r="K934">
        <v>140.50485301948501</v>
      </c>
    </row>
    <row r="935" spans="1:11" x14ac:dyDescent="0.25">
      <c r="A935" t="s">
        <v>0</v>
      </c>
      <c r="B935">
        <f>VLOOKUP(C935,'[2]Ensaio 1'!$A$2:$F$28,6,FALSE)</f>
        <v>5</v>
      </c>
      <c r="C935" s="36">
        <v>960000003688554</v>
      </c>
      <c r="D935" s="36">
        <v>960000003688554</v>
      </c>
      <c r="E935" s="1">
        <f t="shared" si="14"/>
        <v>44982</v>
      </c>
      <c r="F935" s="51">
        <v>44982.315462963001</v>
      </c>
      <c r="G935" s="51">
        <v>44982.319664351897</v>
      </c>
      <c r="H935" s="52">
        <v>3.2291666666670001E-3</v>
      </c>
      <c r="I935">
        <v>7.5711112022399902</v>
      </c>
      <c r="J935">
        <v>10164.1945383987</v>
      </c>
      <c r="K935">
        <v>212.39901076003599</v>
      </c>
    </row>
    <row r="936" spans="1:11" x14ac:dyDescent="0.25">
      <c r="A936" t="s">
        <v>0</v>
      </c>
      <c r="B936">
        <f>VLOOKUP(C936,'[2]Ensaio 1'!$A$2:$F$28,6,FALSE)</f>
        <v>5</v>
      </c>
      <c r="C936" s="36">
        <v>960000003784740</v>
      </c>
      <c r="D936" s="36">
        <v>960000003784740</v>
      </c>
      <c r="E936" s="1">
        <f t="shared" si="14"/>
        <v>44982</v>
      </c>
      <c r="F936" s="51">
        <v>44982.413043981498</v>
      </c>
      <c r="G936" s="51">
        <v>44982.4168055556</v>
      </c>
      <c r="H936" s="52">
        <v>3.2638888888890001E-3</v>
      </c>
      <c r="I936">
        <v>9.913055419921875</v>
      </c>
      <c r="J936">
        <v>8554.9052194504893</v>
      </c>
      <c r="K936">
        <v>206.88866494905201</v>
      </c>
    </row>
    <row r="937" spans="1:11" x14ac:dyDescent="0.25">
      <c r="A937" t="s">
        <v>0</v>
      </c>
      <c r="B937">
        <f>VLOOKUP(C937,'[2]Ensaio 1'!$A$2:$F$28,6,FALSE)</f>
        <v>5</v>
      </c>
      <c r="C937" s="36">
        <v>960000003784699</v>
      </c>
      <c r="D937" s="36">
        <v>960000003784699</v>
      </c>
      <c r="E937" s="1">
        <f t="shared" si="14"/>
        <v>44982</v>
      </c>
      <c r="F937" s="51">
        <v>44982.418946759302</v>
      </c>
      <c r="G937" s="51">
        <v>44982.422523148103</v>
      </c>
      <c r="H937" s="52">
        <v>3.4490740740739999E-3</v>
      </c>
      <c r="I937">
        <v>10.054721832275391</v>
      </c>
      <c r="J937">
        <v>7902.1690095089198</v>
      </c>
      <c r="K937">
        <v>128.093913312545</v>
      </c>
    </row>
    <row r="938" spans="1:11" x14ac:dyDescent="0.25">
      <c r="A938" t="s">
        <v>0</v>
      </c>
      <c r="B938">
        <f>VLOOKUP(C938,'[2]Ensaio 1'!$A$2:$F$28,6,FALSE)</f>
        <v>5</v>
      </c>
      <c r="C938" s="36">
        <v>960000003784731</v>
      </c>
      <c r="D938" s="36">
        <v>960000003784731</v>
      </c>
      <c r="E938" s="1">
        <f t="shared" si="14"/>
        <v>44982</v>
      </c>
      <c r="F938" s="51">
        <v>44982.489201388897</v>
      </c>
      <c r="G938" s="51">
        <v>44982.492604166699</v>
      </c>
      <c r="H938" s="52">
        <v>3.206018518519E-3</v>
      </c>
      <c r="I938">
        <v>11.740833282470703</v>
      </c>
      <c r="J938">
        <v>8975.1956349230204</v>
      </c>
      <c r="K938">
        <v>188.977558225596</v>
      </c>
    </row>
    <row r="939" spans="1:11" x14ac:dyDescent="0.25">
      <c r="A939" t="s">
        <v>0</v>
      </c>
      <c r="B939">
        <f>VLOOKUP(C939,'[2]Ensaio 1'!$A$2:$F$28,6,FALSE)</f>
        <v>5</v>
      </c>
      <c r="C939" s="36">
        <v>960000003784722</v>
      </c>
      <c r="D939" s="36">
        <v>960000003784722</v>
      </c>
      <c r="E939" s="1">
        <f t="shared" si="14"/>
        <v>44982</v>
      </c>
      <c r="F939" s="51">
        <v>44982.525590277801</v>
      </c>
      <c r="G939" s="51">
        <v>44982.529085648202</v>
      </c>
      <c r="H939" s="52">
        <v>3.2638888888890001E-3</v>
      </c>
      <c r="I939">
        <v>12.614166259765625</v>
      </c>
      <c r="J939">
        <v>8395.6171416654106</v>
      </c>
      <c r="K939">
        <v>160.257858341005</v>
      </c>
    </row>
    <row r="940" spans="1:11" x14ac:dyDescent="0.25">
      <c r="A940" t="s">
        <v>0</v>
      </c>
      <c r="B940">
        <f>VLOOKUP(C940,'[2]Ensaio 1'!$A$2:$F$28,6,FALSE)</f>
        <v>5</v>
      </c>
      <c r="C940" s="36">
        <v>960000003688554</v>
      </c>
      <c r="D940" s="36">
        <v>960000003688554</v>
      </c>
      <c r="E940" s="1">
        <f t="shared" si="14"/>
        <v>44982</v>
      </c>
      <c r="F940" s="51">
        <v>44982.542280092603</v>
      </c>
      <c r="G940" s="51">
        <v>44982.545370370397</v>
      </c>
      <c r="H940" s="52">
        <v>2.7893518518520002E-3</v>
      </c>
      <c r="I940">
        <v>13.014721870422363</v>
      </c>
      <c r="J940">
        <v>9191.39224264318</v>
      </c>
      <c r="K940">
        <v>164.37735547430199</v>
      </c>
    </row>
    <row r="941" spans="1:11" x14ac:dyDescent="0.25">
      <c r="A941" t="s">
        <v>0</v>
      </c>
      <c r="B941">
        <f>VLOOKUP(C941,'[2]Ensaio 1'!$A$2:$F$28,6,FALSE)</f>
        <v>5</v>
      </c>
      <c r="C941" s="36">
        <v>960000003784699</v>
      </c>
      <c r="D941" s="36">
        <v>960000003784699</v>
      </c>
      <c r="E941" s="1">
        <f t="shared" si="14"/>
        <v>44982</v>
      </c>
      <c r="F941" s="51">
        <v>44982.671041666697</v>
      </c>
      <c r="G941" s="51">
        <v>44982.674085648097</v>
      </c>
      <c r="H941" s="52">
        <v>2.6157407407409999E-3</v>
      </c>
      <c r="I941">
        <v>16.104999542236328</v>
      </c>
      <c r="J941">
        <v>7705.8608265422499</v>
      </c>
      <c r="K941">
        <v>120.961126974487</v>
      </c>
    </row>
    <row r="942" spans="1:11" x14ac:dyDescent="0.25">
      <c r="A942" t="s">
        <v>0</v>
      </c>
      <c r="B942">
        <f>VLOOKUP(C942,'[2]Ensaio 1'!$A$2:$F$28,6,FALSE)</f>
        <v>5</v>
      </c>
      <c r="C942" s="36">
        <v>960000003784740</v>
      </c>
      <c r="D942" s="36">
        <v>960000003784740</v>
      </c>
      <c r="E942" s="1">
        <f t="shared" si="14"/>
        <v>44982</v>
      </c>
      <c r="F942" s="51">
        <v>44982.6960763889</v>
      </c>
      <c r="G942" s="51">
        <v>44982.699328703697</v>
      </c>
      <c r="H942" s="52">
        <v>3.1944444444440001E-3</v>
      </c>
      <c r="I942">
        <v>16.705833435058594</v>
      </c>
      <c r="J942">
        <v>8756.5099093246099</v>
      </c>
      <c r="K942">
        <v>239.234161191917</v>
      </c>
    </row>
    <row r="943" spans="1:11" x14ac:dyDescent="0.25">
      <c r="A943" t="s">
        <v>0</v>
      </c>
      <c r="B943">
        <f>VLOOKUP(C943,'[2]Ensaio 1'!$A$2:$F$28,6,FALSE)</f>
        <v>5</v>
      </c>
      <c r="C943" s="36">
        <v>960000003784731</v>
      </c>
      <c r="D943" s="36">
        <v>960000003784731</v>
      </c>
      <c r="E943" s="1">
        <f t="shared" si="14"/>
        <v>44982</v>
      </c>
      <c r="F943" s="51">
        <v>44982.713599536997</v>
      </c>
      <c r="G943" s="51">
        <v>44982.717384259297</v>
      </c>
      <c r="H943" s="52">
        <v>3.703703703704E-3</v>
      </c>
      <c r="I943">
        <v>17.126388549804688</v>
      </c>
      <c r="J943">
        <v>8939.1484725539794</v>
      </c>
      <c r="K943">
        <v>214.776098727</v>
      </c>
    </row>
    <row r="944" spans="1:11" x14ac:dyDescent="0.25">
      <c r="A944" t="s">
        <v>0</v>
      </c>
      <c r="B944">
        <f>VLOOKUP(C944,'[2]Ensaio 1'!$A$2:$F$28,6,FALSE)</f>
        <v>5</v>
      </c>
      <c r="C944" s="36">
        <v>960000003784722</v>
      </c>
      <c r="D944" s="36">
        <v>960000003784722</v>
      </c>
      <c r="E944" s="1">
        <f t="shared" si="14"/>
        <v>44982</v>
      </c>
      <c r="F944" s="51">
        <v>44982.750972222202</v>
      </c>
      <c r="G944" s="51">
        <v>44982.754374999997</v>
      </c>
      <c r="H944" s="52">
        <v>3.3217592592590002E-3</v>
      </c>
      <c r="I944">
        <v>18.023332595825195</v>
      </c>
      <c r="J944">
        <v>9264.6927924938009</v>
      </c>
      <c r="K944">
        <v>182.59887238126501</v>
      </c>
    </row>
    <row r="945" spans="1:11" x14ac:dyDescent="0.25">
      <c r="A945" t="s">
        <v>0</v>
      </c>
      <c r="B945">
        <f>VLOOKUP(C945,'[2]Ensaio 1'!$A$2:$F$28,6,FALSE)</f>
        <v>5</v>
      </c>
      <c r="C945" s="36">
        <v>960000003688554</v>
      </c>
      <c r="D945" s="36">
        <v>960000003688554</v>
      </c>
      <c r="E945" s="1">
        <f t="shared" si="14"/>
        <v>44982</v>
      </c>
      <c r="F945" s="51">
        <v>44982.800057870401</v>
      </c>
      <c r="G945" s="51">
        <v>44982.803842592599</v>
      </c>
      <c r="H945" s="52">
        <v>3.7268518518520002E-3</v>
      </c>
      <c r="I945">
        <v>19.201389312744141</v>
      </c>
      <c r="J945">
        <v>10173.3607479166</v>
      </c>
      <c r="K945">
        <v>249.22414408183201</v>
      </c>
    </row>
    <row r="946" spans="1:11" x14ac:dyDescent="0.25">
      <c r="A946" t="s">
        <v>0</v>
      </c>
      <c r="B946">
        <f>VLOOKUP(C946,'[2]Ensaio 1'!$A$2:$F$28,6,FALSE)</f>
        <v>5</v>
      </c>
      <c r="C946" s="36">
        <v>960000003784699</v>
      </c>
      <c r="D946" s="36">
        <v>960000003784699</v>
      </c>
      <c r="E946" s="1">
        <f t="shared" si="14"/>
        <v>44982</v>
      </c>
      <c r="F946" s="51">
        <v>44982.949270833298</v>
      </c>
      <c r="G946" s="51">
        <v>44982.9522685185</v>
      </c>
      <c r="H946" s="52">
        <v>2.905092592593E-3</v>
      </c>
      <c r="I946">
        <v>22.782499313354492</v>
      </c>
      <c r="J946">
        <v>9252.7287428749605</v>
      </c>
      <c r="K946">
        <v>154.932096785449</v>
      </c>
    </row>
    <row r="947" spans="1:11" x14ac:dyDescent="0.25">
      <c r="A947" t="s">
        <v>0</v>
      </c>
      <c r="B947">
        <f>VLOOKUP(C947,'[2]Ensaio 1'!$A$2:$F$28,6,FALSE)</f>
        <v>5</v>
      </c>
      <c r="C947" s="36">
        <v>960000003784731</v>
      </c>
      <c r="D947" s="36">
        <v>960000003784731</v>
      </c>
      <c r="E947" s="1">
        <f t="shared" si="14"/>
        <v>44982</v>
      </c>
      <c r="F947" s="51">
        <v>44982.956608796303</v>
      </c>
      <c r="G947" s="51">
        <v>44982.959976851896</v>
      </c>
      <c r="H947" s="52">
        <v>3.3101851851849999E-3</v>
      </c>
      <c r="I947">
        <v>22.958610534667969</v>
      </c>
      <c r="J947">
        <v>9336.0920333662798</v>
      </c>
      <c r="K947">
        <v>208.20311722953099</v>
      </c>
    </row>
    <row r="948" spans="1:11" x14ac:dyDescent="0.25">
      <c r="A948" t="s">
        <v>0</v>
      </c>
      <c r="B948">
        <f>VLOOKUP(C948,'[2]Ensaio 1'!$A$2:$F$28,6,FALSE)</f>
        <v>5</v>
      </c>
      <c r="C948" s="36">
        <v>960000003784722</v>
      </c>
      <c r="D948" s="36">
        <v>960000003784722</v>
      </c>
      <c r="E948" s="1">
        <f t="shared" si="14"/>
        <v>44982</v>
      </c>
      <c r="F948" s="51">
        <v>44982.971064814803</v>
      </c>
      <c r="G948" s="51">
        <v>44982.9745833333</v>
      </c>
      <c r="H948" s="52">
        <v>3.4143518518519999E-3</v>
      </c>
      <c r="I948">
        <v>23.30555534362793</v>
      </c>
      <c r="J948">
        <v>7975.9818435828402</v>
      </c>
      <c r="K948">
        <v>122.659047735271</v>
      </c>
    </row>
    <row r="949" spans="1:11" x14ac:dyDescent="0.25">
      <c r="A949" t="s">
        <v>0</v>
      </c>
      <c r="B949">
        <f>VLOOKUP(C949,'[2]Ensaio 1'!$A$2:$F$28,6,FALSE)</f>
        <v>5</v>
      </c>
      <c r="C949" s="36">
        <v>960000003688554</v>
      </c>
      <c r="D949" s="36">
        <v>960000003688554</v>
      </c>
      <c r="E949" s="1">
        <f t="shared" si="14"/>
        <v>44983</v>
      </c>
      <c r="F949" s="51">
        <v>44983.003148148098</v>
      </c>
      <c r="G949" s="51">
        <v>44983.006886574098</v>
      </c>
      <c r="H949" s="52">
        <v>3.668981481481E-3</v>
      </c>
      <c r="I949">
        <v>7.5555555522442003E-2</v>
      </c>
      <c r="J949">
        <v>8091.1927787169998</v>
      </c>
      <c r="K949">
        <v>140.13777685561001</v>
      </c>
    </row>
    <row r="950" spans="1:11" x14ac:dyDescent="0.25">
      <c r="A950" t="s">
        <v>0</v>
      </c>
      <c r="B950">
        <f>VLOOKUP(C950,'[2]Ensaio 1'!$A$2:$F$28,6,FALSE)</f>
        <v>5</v>
      </c>
      <c r="C950" s="36">
        <v>960000003784740</v>
      </c>
      <c r="D950" s="36">
        <v>960000003784740</v>
      </c>
      <c r="E950" s="1">
        <f t="shared" si="14"/>
        <v>44983</v>
      </c>
      <c r="F950" s="51">
        <v>44983.0098842593</v>
      </c>
      <c r="G950" s="51">
        <v>44983.012858796297</v>
      </c>
      <c r="H950" s="52">
        <v>2.9282407407410001E-3</v>
      </c>
      <c r="I950">
        <v>0.237222224473953</v>
      </c>
      <c r="J950">
        <v>9416.4248741143892</v>
      </c>
      <c r="K950">
        <v>284.91944300563102</v>
      </c>
    </row>
    <row r="951" spans="1:11" x14ac:dyDescent="0.25">
      <c r="A951" t="s">
        <v>0</v>
      </c>
      <c r="B951">
        <f>VLOOKUP(C951,'[2]Ensaio 1'!$A$2:$F$28,6,FALSE)</f>
        <v>5</v>
      </c>
      <c r="C951" s="36">
        <v>960000003784731</v>
      </c>
      <c r="D951" s="36">
        <v>960000003784731</v>
      </c>
      <c r="E951" s="1">
        <f t="shared" si="14"/>
        <v>44983</v>
      </c>
      <c r="F951" s="51">
        <v>44983.024178240703</v>
      </c>
      <c r="G951" s="51">
        <v>44983.027141203696</v>
      </c>
      <c r="H951" s="52">
        <v>2.8009259259260001E-3</v>
      </c>
      <c r="I951">
        <v>0.580277800559998</v>
      </c>
      <c r="J951">
        <v>8367.4696871790402</v>
      </c>
      <c r="K951">
        <v>144.39871356244299</v>
      </c>
    </row>
    <row r="952" spans="1:11" x14ac:dyDescent="0.25">
      <c r="A952" t="s">
        <v>0</v>
      </c>
      <c r="B952">
        <f>VLOOKUP(C952,'[2]Ensaio 1'!$A$2:$F$28,6,FALSE)</f>
        <v>5</v>
      </c>
      <c r="C952" s="36">
        <v>960000003784722</v>
      </c>
      <c r="D952" s="36">
        <v>960000003784722</v>
      </c>
      <c r="E952" s="1">
        <f t="shared" si="14"/>
        <v>44983</v>
      </c>
      <c r="F952" s="51">
        <v>44983.061249999999</v>
      </c>
      <c r="G952" s="51">
        <v>44983.064375000002</v>
      </c>
      <c r="H952" s="52">
        <v>3.0671296296300001E-3</v>
      </c>
      <c r="I952">
        <v>1.470000028610229</v>
      </c>
      <c r="J952">
        <v>9464.4548620140795</v>
      </c>
      <c r="K952">
        <v>174.680920037221</v>
      </c>
    </row>
    <row r="953" spans="1:11" x14ac:dyDescent="0.25">
      <c r="A953" t="s">
        <v>0</v>
      </c>
      <c r="B953">
        <f>VLOOKUP(C953,'[2]Ensaio 1'!$A$2:$F$28,6,FALSE)</f>
        <v>5</v>
      </c>
      <c r="C953" s="36">
        <v>960000003784699</v>
      </c>
      <c r="D953" s="36">
        <v>960000003784699</v>
      </c>
      <c r="E953" s="1">
        <f t="shared" si="14"/>
        <v>44983</v>
      </c>
      <c r="F953" s="51">
        <v>44983.1341203704</v>
      </c>
      <c r="G953" s="51">
        <v>44983.1383796296</v>
      </c>
      <c r="H953" s="52">
        <v>3.0787037037039999E-3</v>
      </c>
      <c r="I953">
        <v>3.2188889980316162</v>
      </c>
      <c r="J953">
        <v>7894.1480701253904</v>
      </c>
      <c r="K953">
        <v>96.503813369072006</v>
      </c>
    </row>
    <row r="954" spans="1:11" x14ac:dyDescent="0.25">
      <c r="A954" t="s">
        <v>0</v>
      </c>
      <c r="B954">
        <f>VLOOKUP(C954,'[2]Ensaio 1'!$A$2:$F$28,6,FALSE)</f>
        <v>5</v>
      </c>
      <c r="C954" s="36">
        <v>960000003784731</v>
      </c>
      <c r="D954" s="36">
        <v>960000003784731</v>
      </c>
      <c r="E954" s="1">
        <f t="shared" si="14"/>
        <v>44983</v>
      </c>
      <c r="F954" s="51">
        <v>44983.272997685199</v>
      </c>
      <c r="G954" s="51">
        <v>44983.276631944398</v>
      </c>
      <c r="H954" s="52">
        <v>3.5879629629629998E-3</v>
      </c>
      <c r="I954">
        <v>6.5519442558288574</v>
      </c>
      <c r="J954">
        <v>9656.4565905721793</v>
      </c>
      <c r="K954">
        <v>251.23698768691099</v>
      </c>
    </row>
    <row r="955" spans="1:11" x14ac:dyDescent="0.25">
      <c r="A955" t="s">
        <v>0</v>
      </c>
      <c r="B955">
        <f>VLOOKUP(C955,'[2]Ensaio 1'!$A$2:$F$28,6,FALSE)</f>
        <v>5</v>
      </c>
      <c r="C955" s="36">
        <v>960000003784740</v>
      </c>
      <c r="D955" s="36">
        <v>960000003784740</v>
      </c>
      <c r="E955" s="1">
        <f t="shared" si="14"/>
        <v>44983</v>
      </c>
      <c r="F955" s="51">
        <v>44983.277928240699</v>
      </c>
      <c r="G955" s="51">
        <v>44983.281273148103</v>
      </c>
      <c r="H955" s="52">
        <v>3.2986111111110001E-3</v>
      </c>
      <c r="I955">
        <v>6.6702775955200204</v>
      </c>
      <c r="J955">
        <v>7910.1748606225601</v>
      </c>
      <c r="K955">
        <v>179.02321206767499</v>
      </c>
    </row>
    <row r="956" spans="1:11" x14ac:dyDescent="0.25">
      <c r="A956" t="s">
        <v>0</v>
      </c>
      <c r="B956">
        <f>VLOOKUP(C956,'[2]Ensaio 1'!$A$2:$F$28,6,FALSE)</f>
        <v>5</v>
      </c>
      <c r="C956" s="36">
        <v>960000003688554</v>
      </c>
      <c r="D956" s="36">
        <v>960000003688554</v>
      </c>
      <c r="E956" s="1">
        <f t="shared" si="14"/>
        <v>44983</v>
      </c>
      <c r="F956" s="51">
        <v>44983.284085648098</v>
      </c>
      <c r="G956" s="51">
        <v>44983.287905092599</v>
      </c>
      <c r="H956" s="52">
        <v>3.738425925926E-3</v>
      </c>
      <c r="I956">
        <v>6.8180556297302246</v>
      </c>
      <c r="J956">
        <v>9296.8328039884891</v>
      </c>
      <c r="K956">
        <v>179.377163158038</v>
      </c>
    </row>
    <row r="957" spans="1:11" x14ac:dyDescent="0.25">
      <c r="A957" t="s">
        <v>0</v>
      </c>
      <c r="B957">
        <f>VLOOKUP(C957,'[2]Ensaio 1'!$A$2:$F$28,6,FALSE)</f>
        <v>5</v>
      </c>
      <c r="C957" s="36">
        <v>960000003784722</v>
      </c>
      <c r="D957" s="36">
        <v>960000003784722</v>
      </c>
      <c r="E957" s="1">
        <f t="shared" si="14"/>
        <v>44983</v>
      </c>
      <c r="F957" s="51">
        <v>44983.311435185198</v>
      </c>
      <c r="G957" s="51">
        <v>44983.314456018503</v>
      </c>
      <c r="H957" s="52">
        <v>2.974537037037E-3</v>
      </c>
      <c r="I957">
        <v>7.4744443893432617</v>
      </c>
      <c r="J957">
        <v>7793.4926630201899</v>
      </c>
      <c r="K957">
        <v>171.54989484322999</v>
      </c>
    </row>
    <row r="958" spans="1:11" x14ac:dyDescent="0.25">
      <c r="A958" t="s">
        <v>0</v>
      </c>
      <c r="B958">
        <f>VLOOKUP(C958,'[2]Ensaio 1'!$A$2:$F$28,6,FALSE)</f>
        <v>5</v>
      </c>
      <c r="C958" s="36">
        <v>960000003784699</v>
      </c>
      <c r="D958" s="36">
        <v>960000003784699</v>
      </c>
      <c r="E958" s="1">
        <f t="shared" si="14"/>
        <v>44983</v>
      </c>
      <c r="F958" s="51">
        <v>44983.395520833299</v>
      </c>
      <c r="G958" s="51">
        <v>44983.3987037037</v>
      </c>
      <c r="H958" s="52">
        <v>2.1875000000000002E-3</v>
      </c>
      <c r="I958">
        <v>9.4925003051757813</v>
      </c>
      <c r="J958">
        <v>7766.6366231335196</v>
      </c>
      <c r="K958">
        <v>141.89128785190499</v>
      </c>
    </row>
    <row r="959" spans="1:11" x14ac:dyDescent="0.25">
      <c r="A959" t="s">
        <v>0</v>
      </c>
      <c r="B959">
        <f>VLOOKUP(C959,'[2]Ensaio 1'!$A$2:$F$28,6,FALSE)</f>
        <v>5</v>
      </c>
      <c r="C959" s="36">
        <v>960000003688554</v>
      </c>
      <c r="D959" s="36">
        <v>960000003688554</v>
      </c>
      <c r="E959" s="1">
        <f t="shared" si="14"/>
        <v>44983</v>
      </c>
      <c r="F959" s="51">
        <v>44983.494675925896</v>
      </c>
      <c r="G959" s="51">
        <v>44983.4988773148</v>
      </c>
      <c r="H959" s="52">
        <v>3.9814814814810003E-3</v>
      </c>
      <c r="I959">
        <v>11.872221946716309</v>
      </c>
      <c r="J959">
        <v>8010.4465105245399</v>
      </c>
      <c r="K959">
        <v>169.798497875549</v>
      </c>
    </row>
    <row r="960" spans="1:11" x14ac:dyDescent="0.25">
      <c r="A960" t="s">
        <v>0</v>
      </c>
      <c r="B960">
        <f>VLOOKUP(C960,'[2]Ensaio 1'!$A$2:$F$28,6,FALSE)</f>
        <v>5</v>
      </c>
      <c r="C960" s="36">
        <v>960000003784731</v>
      </c>
      <c r="D960" s="36">
        <v>960000003784731</v>
      </c>
      <c r="E960" s="1">
        <f t="shared" si="14"/>
        <v>44983</v>
      </c>
      <c r="F960" s="51">
        <v>44983.539097222201</v>
      </c>
      <c r="G960" s="51">
        <v>44983.542824074102</v>
      </c>
      <c r="H960" s="52">
        <v>3.4259259259260002E-3</v>
      </c>
      <c r="I960">
        <v>12.938333511352539</v>
      </c>
      <c r="J960">
        <v>8934.8160868844298</v>
      </c>
      <c r="K960">
        <v>189.712466313709</v>
      </c>
    </row>
    <row r="961" spans="1:11" x14ac:dyDescent="0.25">
      <c r="A961" t="s">
        <v>0</v>
      </c>
      <c r="B961">
        <f>VLOOKUP(C961,'[2]Ensaio 1'!$A$2:$F$28,6,FALSE)</f>
        <v>5</v>
      </c>
      <c r="C961" s="36">
        <v>960000003784740</v>
      </c>
      <c r="D961" s="36">
        <v>960000003784740</v>
      </c>
      <c r="E961" s="1">
        <f t="shared" si="14"/>
        <v>44983</v>
      </c>
      <c r="F961" s="51">
        <v>44983.543217592603</v>
      </c>
      <c r="G961" s="51">
        <v>44983.545983796299</v>
      </c>
      <c r="H961" s="52">
        <v>2.6851851851849998E-3</v>
      </c>
      <c r="I961">
        <v>13.037221908569336</v>
      </c>
      <c r="J961">
        <v>8698.6756841582792</v>
      </c>
      <c r="K961">
        <v>221.12985837243801</v>
      </c>
    </row>
    <row r="962" spans="1:11" x14ac:dyDescent="0.25">
      <c r="A962" t="s">
        <v>0</v>
      </c>
      <c r="B962">
        <f>VLOOKUP(C962,'[2]Ensaio 1'!$A$2:$F$28,6,FALSE)</f>
        <v>5</v>
      </c>
      <c r="C962" s="36">
        <v>960000003784722</v>
      </c>
      <c r="D962" s="36">
        <v>960000003784722</v>
      </c>
      <c r="E962" s="1">
        <f t="shared" ref="E962:E1025" si="15">ROUNDDOWN(LEFT(F962,10),0)</f>
        <v>44983</v>
      </c>
      <c r="F962" s="51">
        <v>44983.5682407407</v>
      </c>
      <c r="G962" s="51">
        <v>44983.571550925903</v>
      </c>
      <c r="H962" s="52">
        <v>2.9282407407410001E-3</v>
      </c>
      <c r="I962">
        <v>13.637777328491211</v>
      </c>
      <c r="J962">
        <v>8470.4660158889801</v>
      </c>
      <c r="K962">
        <v>136.56926386281299</v>
      </c>
    </row>
    <row r="963" spans="1:11" x14ac:dyDescent="0.25">
      <c r="A963" t="s">
        <v>0</v>
      </c>
      <c r="B963">
        <f>VLOOKUP(C963,'[2]Ensaio 1'!$A$2:$F$28,6,FALSE)</f>
        <v>5</v>
      </c>
      <c r="C963" s="36">
        <v>960000003784699</v>
      </c>
      <c r="D963" s="36">
        <v>960000003784699</v>
      </c>
      <c r="E963" s="1">
        <f t="shared" si="15"/>
        <v>44983</v>
      </c>
      <c r="F963" s="51">
        <v>44983.656898148103</v>
      </c>
      <c r="G963" s="51">
        <v>44983.661053240699</v>
      </c>
      <c r="H963" s="52">
        <v>3.1597222222220001E-3</v>
      </c>
      <c r="I963">
        <v>15.765555381774902</v>
      </c>
      <c r="J963">
        <v>7616.2311780922</v>
      </c>
      <c r="K963">
        <v>124.510604458158</v>
      </c>
    </row>
    <row r="964" spans="1:11" x14ac:dyDescent="0.25">
      <c r="A964" t="s">
        <v>0</v>
      </c>
      <c r="B964">
        <f>VLOOKUP(C964,'[2]Ensaio 1'!$A$2:$F$28,6,FALSE)</f>
        <v>5</v>
      </c>
      <c r="C964" s="36">
        <v>960000003688554</v>
      </c>
      <c r="D964" s="36">
        <v>960000003688554</v>
      </c>
      <c r="E964" s="1">
        <f t="shared" si="15"/>
        <v>44983</v>
      </c>
      <c r="F964" s="51">
        <v>44983.746481481503</v>
      </c>
      <c r="G964" s="51">
        <v>44983.750462962998</v>
      </c>
      <c r="H964" s="52">
        <v>3.80787037037E-3</v>
      </c>
      <c r="I964">
        <v>17.915555953979492</v>
      </c>
      <c r="J964">
        <v>9873.0201342877408</v>
      </c>
      <c r="K964">
        <v>218.45334687828901</v>
      </c>
    </row>
    <row r="965" spans="1:11" x14ac:dyDescent="0.25">
      <c r="A965" t="s">
        <v>0</v>
      </c>
      <c r="B965">
        <f>VLOOKUP(C965,'[2]Ensaio 1'!$A$2:$F$28,6,FALSE)</f>
        <v>5</v>
      </c>
      <c r="C965" s="36">
        <v>960000003784731</v>
      </c>
      <c r="D965" s="36">
        <v>960000003784731</v>
      </c>
      <c r="E965" s="1">
        <f t="shared" si="15"/>
        <v>44983</v>
      </c>
      <c r="F965" s="51">
        <v>44983.761886574102</v>
      </c>
      <c r="G965" s="51">
        <v>44983.765011574098</v>
      </c>
      <c r="H965" s="52">
        <v>2.9629629629630001E-3</v>
      </c>
      <c r="I965">
        <v>18.2852783203125</v>
      </c>
      <c r="J965">
        <v>9153.4627327386406</v>
      </c>
      <c r="K965">
        <v>213.43073167188001</v>
      </c>
    </row>
    <row r="966" spans="1:11" x14ac:dyDescent="0.25">
      <c r="A966" t="s">
        <v>0</v>
      </c>
      <c r="B966">
        <f>VLOOKUP(C966,'[2]Ensaio 1'!$A$2:$F$28,6,FALSE)</f>
        <v>5</v>
      </c>
      <c r="C966" s="36">
        <v>960000003784740</v>
      </c>
      <c r="D966" s="36">
        <v>960000003784740</v>
      </c>
      <c r="E966" s="1">
        <f t="shared" si="15"/>
        <v>44983</v>
      </c>
      <c r="F966" s="51">
        <v>44983.766331018502</v>
      </c>
      <c r="G966" s="51">
        <v>44983.769085648099</v>
      </c>
      <c r="H966" s="52">
        <v>2.5115740740739999E-3</v>
      </c>
      <c r="I966">
        <v>18.391944885253906</v>
      </c>
      <c r="J966">
        <v>9827.7288429451692</v>
      </c>
      <c r="K966">
        <v>269.947182071452</v>
      </c>
    </row>
    <row r="967" spans="1:11" x14ac:dyDescent="0.25">
      <c r="A967" t="s">
        <v>0</v>
      </c>
      <c r="B967">
        <f>VLOOKUP(C967,'[2]Ensaio 1'!$A$2:$F$28,6,FALSE)</f>
        <v>5</v>
      </c>
      <c r="C967" s="36">
        <v>960000003784722</v>
      </c>
      <c r="D967" s="36">
        <v>960000003784722</v>
      </c>
      <c r="E967" s="1">
        <f t="shared" si="15"/>
        <v>44983</v>
      </c>
      <c r="F967" s="51">
        <v>44983.807962963001</v>
      </c>
      <c r="G967" s="51">
        <v>44983.8112847222</v>
      </c>
      <c r="H967" s="52">
        <v>3.0902777777780002E-3</v>
      </c>
      <c r="I967">
        <v>19.391111373901367</v>
      </c>
      <c r="J967">
        <v>9743.7911568935106</v>
      </c>
      <c r="K967">
        <v>235.241277767833</v>
      </c>
    </row>
    <row r="968" spans="1:11" x14ac:dyDescent="0.25">
      <c r="A968" t="s">
        <v>0</v>
      </c>
      <c r="B968">
        <f>VLOOKUP(C968,'[2]Ensaio 1'!$A$2:$F$28,6,FALSE)</f>
        <v>5</v>
      </c>
      <c r="C968" s="36">
        <v>960000003784699</v>
      </c>
      <c r="D968" s="36">
        <v>960000003784699</v>
      </c>
      <c r="E968" s="1">
        <f t="shared" si="15"/>
        <v>44983</v>
      </c>
      <c r="F968" s="51">
        <v>44983.910567129598</v>
      </c>
      <c r="G968" s="51">
        <v>44983.913784722201</v>
      </c>
      <c r="H968" s="52">
        <v>3.0671296296300001E-3</v>
      </c>
      <c r="I968">
        <v>21.853610992431641</v>
      </c>
      <c r="J968">
        <v>8811.6479804274895</v>
      </c>
      <c r="K968">
        <v>152.425970042351</v>
      </c>
    </row>
    <row r="969" spans="1:11" x14ac:dyDescent="0.25">
      <c r="A969" t="s">
        <v>0</v>
      </c>
      <c r="B969">
        <f>VLOOKUP(C969,'[2]Ensaio 1'!$A$2:$F$28,6,FALSE)</f>
        <v>5</v>
      </c>
      <c r="C969" s="36">
        <v>960000003688554</v>
      </c>
      <c r="D969" s="36">
        <v>960000003688554</v>
      </c>
      <c r="E969" s="1">
        <f t="shared" si="15"/>
        <v>44983</v>
      </c>
      <c r="F969" s="51">
        <v>44983.9679398148</v>
      </c>
      <c r="G969" s="51">
        <v>44983.971828703703</v>
      </c>
      <c r="H969" s="52">
        <v>3.2175925925929999E-3</v>
      </c>
      <c r="I969">
        <v>23.230556488037109</v>
      </c>
      <c r="J969">
        <v>9453.9442988007704</v>
      </c>
      <c r="K969">
        <v>174.906314815961</v>
      </c>
    </row>
    <row r="970" spans="1:11" x14ac:dyDescent="0.25">
      <c r="A970" t="s">
        <v>0</v>
      </c>
      <c r="B970">
        <f>VLOOKUP(C970,'[2]Ensaio 1'!$A$2:$F$28,6,FALSE)</f>
        <v>5</v>
      </c>
      <c r="C970" s="36">
        <v>960000003784699</v>
      </c>
      <c r="D970" s="36">
        <v>960000003784699</v>
      </c>
      <c r="E970" s="1">
        <f t="shared" si="15"/>
        <v>44984</v>
      </c>
      <c r="F970" s="51">
        <v>44984.004791666703</v>
      </c>
      <c r="G970" s="51">
        <v>44984.008113425902</v>
      </c>
      <c r="H970" s="52">
        <v>3.2523148148149998E-3</v>
      </c>
      <c r="I970">
        <v>0.115000002086163</v>
      </c>
      <c r="J970">
        <v>8706.0643815022595</v>
      </c>
      <c r="K970">
        <v>143.89454917703699</v>
      </c>
    </row>
    <row r="971" spans="1:11" x14ac:dyDescent="0.25">
      <c r="A971" t="s">
        <v>0</v>
      </c>
      <c r="B971">
        <f>VLOOKUP(C971,'[2]Ensaio 1'!$A$2:$F$28,6,FALSE)</f>
        <v>5</v>
      </c>
      <c r="C971" s="36">
        <v>960000003784731</v>
      </c>
      <c r="D971" s="36">
        <v>960000003784731</v>
      </c>
      <c r="E971" s="1">
        <f t="shared" si="15"/>
        <v>44984</v>
      </c>
      <c r="F971" s="51">
        <v>44984.030868055597</v>
      </c>
      <c r="G971" s="51">
        <v>44984.034178240698</v>
      </c>
      <c r="H971" s="52">
        <v>3.2638888888890001E-3</v>
      </c>
      <c r="I971">
        <v>0.74083334207534801</v>
      </c>
      <c r="J971">
        <v>9182.4753403284394</v>
      </c>
      <c r="K971">
        <v>190.86522322753299</v>
      </c>
    </row>
    <row r="972" spans="1:11" x14ac:dyDescent="0.25">
      <c r="A972" t="s">
        <v>0</v>
      </c>
      <c r="B972">
        <f>VLOOKUP(C972,'[2]Ensaio 1'!$A$2:$F$28,6,FALSE)</f>
        <v>5</v>
      </c>
      <c r="C972" s="36">
        <v>960000003784722</v>
      </c>
      <c r="D972" s="36">
        <v>960000003784722</v>
      </c>
      <c r="E972" s="1">
        <f t="shared" si="15"/>
        <v>44984</v>
      </c>
      <c r="F972" s="51">
        <v>44984.075578703698</v>
      </c>
      <c r="G972" s="51">
        <v>44984.078993055598</v>
      </c>
      <c r="H972" s="52">
        <v>2.5231481481480002E-3</v>
      </c>
      <c r="I972">
        <v>1.8138889074325559</v>
      </c>
      <c r="J972">
        <v>10192.649024210799</v>
      </c>
      <c r="K972">
        <v>209.59929184427301</v>
      </c>
    </row>
    <row r="973" spans="1:11" x14ac:dyDescent="0.25">
      <c r="A973" t="s">
        <v>0</v>
      </c>
      <c r="B973">
        <f>VLOOKUP(C973,'[2]Ensaio 1'!$A$2:$F$28,6,FALSE)</f>
        <v>5</v>
      </c>
      <c r="C973" s="36">
        <v>960000003784740</v>
      </c>
      <c r="D973" s="36">
        <v>960000003784740</v>
      </c>
      <c r="E973" s="1">
        <f t="shared" si="15"/>
        <v>44984</v>
      </c>
      <c r="F973" s="51">
        <v>44984.097060185202</v>
      </c>
      <c r="G973" s="51">
        <v>44984.100729166697</v>
      </c>
      <c r="H973" s="52">
        <v>2.6157407407409999E-3</v>
      </c>
      <c r="I973">
        <v>2.329444408416748</v>
      </c>
      <c r="J973">
        <v>9844.8546464943902</v>
      </c>
      <c r="K973">
        <v>266.35195092713502</v>
      </c>
    </row>
    <row r="974" spans="1:11" x14ac:dyDescent="0.25">
      <c r="A974" t="s">
        <v>0</v>
      </c>
      <c r="B974">
        <f>VLOOKUP(C974,'[2]Ensaio 1'!$A$2:$F$28,6,FALSE)</f>
        <v>5</v>
      </c>
      <c r="C974" s="36">
        <v>960000003688554</v>
      </c>
      <c r="D974" s="36">
        <v>960000003688554</v>
      </c>
      <c r="E974" s="1">
        <f t="shared" si="15"/>
        <v>44984</v>
      </c>
      <c r="F974" s="51">
        <v>44984.110081018502</v>
      </c>
      <c r="G974" s="51">
        <v>44984.113472222198</v>
      </c>
      <c r="H974" s="52">
        <v>2.7893518518520002E-3</v>
      </c>
      <c r="I974">
        <v>2.641944408416748</v>
      </c>
      <c r="J974">
        <v>8787.0912318970804</v>
      </c>
      <c r="K974">
        <v>132.60742881399699</v>
      </c>
    </row>
    <row r="975" spans="1:11" x14ac:dyDescent="0.25">
      <c r="A975" t="s">
        <v>0</v>
      </c>
      <c r="B975">
        <f>VLOOKUP(C975,'[2]Ensaio 1'!$A$2:$F$28,6,FALSE)</f>
        <v>5</v>
      </c>
      <c r="C975" s="36">
        <v>960000003784699</v>
      </c>
      <c r="D975" s="36">
        <v>960000003784699</v>
      </c>
      <c r="E975" s="1">
        <f t="shared" si="15"/>
        <v>44984</v>
      </c>
      <c r="F975" s="51">
        <v>44984.244236111103</v>
      </c>
      <c r="G975" s="51">
        <v>44984.247291666703</v>
      </c>
      <c r="H975" s="52">
        <v>2.4652777777780001E-3</v>
      </c>
      <c r="I975">
        <v>5.8616666793823242</v>
      </c>
      <c r="J975">
        <v>8321.8429841810594</v>
      </c>
      <c r="K975">
        <v>109.56663174886999</v>
      </c>
    </row>
    <row r="976" spans="1:11" x14ac:dyDescent="0.25">
      <c r="A976" t="s">
        <v>0</v>
      </c>
      <c r="B976">
        <f>VLOOKUP(C976,'[2]Ensaio 1'!$A$2:$F$28,6,FALSE)</f>
        <v>5</v>
      </c>
      <c r="C976" s="36">
        <v>960000003784731</v>
      </c>
      <c r="D976" s="36">
        <v>960000003784731</v>
      </c>
      <c r="E976" s="1">
        <f t="shared" si="15"/>
        <v>44984</v>
      </c>
      <c r="F976" s="51">
        <v>44984.2735300926</v>
      </c>
      <c r="G976" s="51">
        <v>44984.276724536998</v>
      </c>
      <c r="H976" s="52">
        <v>3.0555555555559998E-3</v>
      </c>
      <c r="I976">
        <v>6.5647220611572266</v>
      </c>
      <c r="J976">
        <v>9030.1467099352903</v>
      </c>
      <c r="K976">
        <v>174.597368357899</v>
      </c>
    </row>
    <row r="977" spans="1:11" x14ac:dyDescent="0.25">
      <c r="A977" t="s">
        <v>0</v>
      </c>
      <c r="B977">
        <f>VLOOKUP(C977,'[2]Ensaio 1'!$A$2:$F$28,6,FALSE)</f>
        <v>5</v>
      </c>
      <c r="C977" s="36">
        <v>960000003784722</v>
      </c>
      <c r="D977" s="36">
        <v>960000003784722</v>
      </c>
      <c r="E977" s="1">
        <f t="shared" si="15"/>
        <v>44984</v>
      </c>
      <c r="F977" s="51">
        <v>44984.290810185201</v>
      </c>
      <c r="G977" s="51">
        <v>44984.294293981497</v>
      </c>
      <c r="H977" s="52">
        <v>2.974537037037E-3</v>
      </c>
      <c r="I977">
        <v>6.9794445037841797</v>
      </c>
      <c r="J977">
        <v>9492.0834170963408</v>
      </c>
      <c r="K977">
        <v>160.737444072578</v>
      </c>
    </row>
    <row r="978" spans="1:11" x14ac:dyDescent="0.25">
      <c r="A978" t="s">
        <v>0</v>
      </c>
      <c r="B978">
        <f>VLOOKUP(C978,'[2]Ensaio 1'!$A$2:$F$28,6,FALSE)</f>
        <v>5</v>
      </c>
      <c r="C978" s="36">
        <v>960000003688554</v>
      </c>
      <c r="D978" s="36">
        <v>960000003688554</v>
      </c>
      <c r="E978" s="1">
        <f t="shared" si="15"/>
        <v>44984</v>
      </c>
      <c r="F978" s="51">
        <v>44984.3457291667</v>
      </c>
      <c r="G978" s="51">
        <v>44984.3491782407</v>
      </c>
      <c r="H978" s="52">
        <v>3.0902777777780002E-3</v>
      </c>
      <c r="I978">
        <v>8.2974996566772461</v>
      </c>
      <c r="J978">
        <v>8244.8871879414601</v>
      </c>
      <c r="K978">
        <v>187.862933222968</v>
      </c>
    </row>
    <row r="979" spans="1:11" x14ac:dyDescent="0.25">
      <c r="A979" t="s">
        <v>0</v>
      </c>
      <c r="B979">
        <f>VLOOKUP(C979,'[2]Ensaio 1'!$A$2:$F$28,6,FALSE)</f>
        <v>5</v>
      </c>
      <c r="C979" s="36">
        <v>960000003784740</v>
      </c>
      <c r="D979" s="36">
        <v>960000003784740</v>
      </c>
      <c r="E979" s="1">
        <f t="shared" si="15"/>
        <v>44984</v>
      </c>
      <c r="F979" s="51">
        <v>44984.387534722198</v>
      </c>
      <c r="G979" s="51">
        <v>44984.391655092601</v>
      </c>
      <c r="H979" s="52">
        <v>3.1481481481479999E-3</v>
      </c>
      <c r="I979">
        <v>9.3008337020874023</v>
      </c>
      <c r="J979">
        <v>8117.67181932725</v>
      </c>
      <c r="K979">
        <v>211.735276765984</v>
      </c>
    </row>
    <row r="980" spans="1:11" x14ac:dyDescent="0.25">
      <c r="A980" t="s">
        <v>0</v>
      </c>
      <c r="B980">
        <f>VLOOKUP(C980,'[2]Ensaio 1'!$A$2:$F$28,6,FALSE)</f>
        <v>5</v>
      </c>
      <c r="C980" s="36">
        <v>960000003784699</v>
      </c>
      <c r="D980" s="36">
        <v>960000003784699</v>
      </c>
      <c r="E980" s="1">
        <f t="shared" si="15"/>
        <v>44984</v>
      </c>
      <c r="F980" s="51">
        <v>44984.488784722198</v>
      </c>
      <c r="G980" s="51">
        <v>44984.492835648103</v>
      </c>
      <c r="H980" s="52">
        <v>2.9629629629630001E-3</v>
      </c>
      <c r="I980">
        <v>11.730833053588867</v>
      </c>
      <c r="J980">
        <v>8088.6017969514796</v>
      </c>
      <c r="K980">
        <v>135.72577320910301</v>
      </c>
    </row>
    <row r="981" spans="1:11" x14ac:dyDescent="0.25">
      <c r="A981" t="s">
        <v>0</v>
      </c>
      <c r="B981">
        <f>VLOOKUP(C981,'[2]Ensaio 1'!$A$2:$F$28,6,FALSE)</f>
        <v>5</v>
      </c>
      <c r="C981" s="36">
        <v>960000003784722</v>
      </c>
      <c r="D981" s="36">
        <v>960000003784722</v>
      </c>
      <c r="E981" s="1">
        <f t="shared" si="15"/>
        <v>44984</v>
      </c>
      <c r="F981" s="51">
        <v>44984.5171990741</v>
      </c>
      <c r="G981" s="51">
        <v>44984.520752314798</v>
      </c>
      <c r="H981" s="52">
        <v>3.0439814814809999E-3</v>
      </c>
      <c r="I981">
        <v>12.412777900695801</v>
      </c>
      <c r="J981">
        <v>7920.95396830543</v>
      </c>
      <c r="K981">
        <v>156.47913712979499</v>
      </c>
    </row>
    <row r="982" spans="1:11" x14ac:dyDescent="0.25">
      <c r="A982" t="s">
        <v>0</v>
      </c>
      <c r="B982">
        <f>VLOOKUP(C982,'[2]Ensaio 1'!$A$2:$F$28,6,FALSE)</f>
        <v>5</v>
      </c>
      <c r="C982" s="36">
        <v>960000003784731</v>
      </c>
      <c r="D982" s="36">
        <v>960000003784731</v>
      </c>
      <c r="E982" s="1">
        <f t="shared" si="15"/>
        <v>44984</v>
      </c>
      <c r="F982" s="51">
        <v>44984.544004629599</v>
      </c>
      <c r="G982" s="51">
        <v>44984.550567129598</v>
      </c>
      <c r="H982" s="52">
        <v>6.1111111111110004E-3</v>
      </c>
      <c r="I982">
        <v>13.056111335754395</v>
      </c>
      <c r="J982">
        <v>9217.9127590462904</v>
      </c>
      <c r="K982">
        <v>212.49762987429199</v>
      </c>
    </row>
    <row r="983" spans="1:11" x14ac:dyDescent="0.25">
      <c r="A983" t="s">
        <v>0</v>
      </c>
      <c r="B983">
        <f>VLOOKUP(C983,'[2]Ensaio 1'!$A$2:$F$28,6,FALSE)</f>
        <v>5</v>
      </c>
      <c r="C983" s="36">
        <v>960000003784740</v>
      </c>
      <c r="D983" s="36">
        <v>960000003784740</v>
      </c>
      <c r="E983" s="1">
        <f t="shared" si="15"/>
        <v>44984</v>
      </c>
      <c r="F983" s="51">
        <v>44984.6184027778</v>
      </c>
      <c r="G983" s="51">
        <v>44984.621550925898</v>
      </c>
      <c r="H983" s="52">
        <v>3.0439814814809999E-3</v>
      </c>
      <c r="I983">
        <v>14.841666221618652</v>
      </c>
      <c r="J983">
        <v>8176.0787531064998</v>
      </c>
      <c r="K983">
        <v>187.03215953995601</v>
      </c>
    </row>
    <row r="984" spans="1:11" x14ac:dyDescent="0.25">
      <c r="A984" t="s">
        <v>0</v>
      </c>
      <c r="B984">
        <f>VLOOKUP(C984,'[2]Ensaio 1'!$A$2:$F$28,6,FALSE)</f>
        <v>5</v>
      </c>
      <c r="C984" s="36">
        <v>960000003688554</v>
      </c>
      <c r="D984" s="36">
        <v>960000003688554</v>
      </c>
      <c r="E984" s="1">
        <f t="shared" si="15"/>
        <v>44984</v>
      </c>
      <c r="F984" s="51">
        <v>44984.624409722201</v>
      </c>
      <c r="G984" s="51">
        <v>44984.628402777802</v>
      </c>
      <c r="H984" s="52">
        <v>3.8657407407410001E-3</v>
      </c>
      <c r="I984">
        <v>14.985833168029785</v>
      </c>
      <c r="J984">
        <v>8181.3649517307704</v>
      </c>
      <c r="K984">
        <v>146.302737281112</v>
      </c>
    </row>
    <row r="985" spans="1:11" x14ac:dyDescent="0.25">
      <c r="A985" t="s">
        <v>0</v>
      </c>
      <c r="B985">
        <f>VLOOKUP(C985,'[2]Ensaio 1'!$A$2:$F$28,6,FALSE)</f>
        <v>5</v>
      </c>
      <c r="C985" s="36">
        <v>960000003784722</v>
      </c>
      <c r="D985" s="36">
        <v>960000003784722</v>
      </c>
      <c r="E985" s="1">
        <f t="shared" si="15"/>
        <v>44984</v>
      </c>
      <c r="F985" s="51">
        <v>44984.729027777801</v>
      </c>
      <c r="G985" s="51">
        <v>44984.732731481497</v>
      </c>
      <c r="H985" s="52">
        <v>3.032407407407E-3</v>
      </c>
      <c r="I985">
        <v>17.496665954589844</v>
      </c>
      <c r="J985">
        <v>9622.1237298535307</v>
      </c>
      <c r="K985">
        <v>198.00360373891601</v>
      </c>
    </row>
    <row r="986" spans="1:11" x14ac:dyDescent="0.25">
      <c r="A986" t="s">
        <v>0</v>
      </c>
      <c r="B986">
        <f>VLOOKUP(C986,'[2]Ensaio 1'!$A$2:$F$28,6,FALSE)</f>
        <v>5</v>
      </c>
      <c r="C986" s="36">
        <v>960000003784699</v>
      </c>
      <c r="D986" s="36">
        <v>960000003784699</v>
      </c>
      <c r="E986" s="1">
        <f t="shared" si="15"/>
        <v>44984</v>
      </c>
      <c r="F986" s="51">
        <v>44984.734745370399</v>
      </c>
      <c r="G986" s="51">
        <v>44984.740046296298</v>
      </c>
      <c r="H986" s="52">
        <v>2.8009259259260001E-3</v>
      </c>
      <c r="I986">
        <v>17.633888244628906</v>
      </c>
      <c r="J986">
        <v>9395.4457767357599</v>
      </c>
      <c r="K986">
        <v>166.30259633950001</v>
      </c>
    </row>
    <row r="987" spans="1:11" x14ac:dyDescent="0.25">
      <c r="A987" t="s">
        <v>0</v>
      </c>
      <c r="B987">
        <f>VLOOKUP(C987,'[2]Ensaio 1'!$A$2:$F$28,6,FALSE)</f>
        <v>5</v>
      </c>
      <c r="C987" s="36">
        <v>960000003784731</v>
      </c>
      <c r="D987" s="36">
        <v>960000003784731</v>
      </c>
      <c r="E987" s="1">
        <f t="shared" si="15"/>
        <v>44984</v>
      </c>
      <c r="F987" s="51">
        <v>44984.757986111101</v>
      </c>
      <c r="G987" s="51">
        <v>44984.761180555601</v>
      </c>
      <c r="H987" s="52">
        <v>2.9976851851850001E-3</v>
      </c>
      <c r="I987">
        <v>18.191667556762695</v>
      </c>
      <c r="J987">
        <v>10072.282626734401</v>
      </c>
      <c r="K987">
        <v>209.039679527196</v>
      </c>
    </row>
    <row r="988" spans="1:11" x14ac:dyDescent="0.25">
      <c r="A988" t="s">
        <v>0</v>
      </c>
      <c r="B988">
        <f>VLOOKUP(C988,'[2]Ensaio 1'!$A$2:$F$28,6,FALSE)</f>
        <v>5</v>
      </c>
      <c r="C988" s="36">
        <v>960000003784740</v>
      </c>
      <c r="D988" s="36">
        <v>960000003784740</v>
      </c>
      <c r="E988" s="1">
        <f t="shared" si="15"/>
        <v>44984</v>
      </c>
      <c r="F988" s="51">
        <v>44984.9133912037</v>
      </c>
      <c r="G988" s="51">
        <v>44984.916909722197</v>
      </c>
      <c r="H988" s="52">
        <v>2.4074074074069999E-3</v>
      </c>
      <c r="I988">
        <v>21.921388626098633</v>
      </c>
      <c r="J988">
        <v>9406.5785084822692</v>
      </c>
      <c r="K988">
        <v>283.58982939466301</v>
      </c>
    </row>
    <row r="989" spans="1:11" x14ac:dyDescent="0.25">
      <c r="A989" t="s">
        <v>0</v>
      </c>
      <c r="B989">
        <f>VLOOKUP(C989,'[2]Ensaio 1'!$A$2:$F$28,6,FALSE)</f>
        <v>5</v>
      </c>
      <c r="C989" s="36">
        <v>960000003688554</v>
      </c>
      <c r="D989" s="36">
        <v>960000003688554</v>
      </c>
      <c r="E989" s="1">
        <f t="shared" si="15"/>
        <v>44984</v>
      </c>
      <c r="F989" s="51">
        <v>44984.919907407399</v>
      </c>
      <c r="G989" s="51">
        <v>44984.923587963</v>
      </c>
      <c r="H989" s="52">
        <v>3.576388888889E-3</v>
      </c>
      <c r="I989">
        <v>22.077777862548828</v>
      </c>
      <c r="J989">
        <v>9166.5479970623201</v>
      </c>
      <c r="K989">
        <v>162.609497248742</v>
      </c>
    </row>
    <row r="990" spans="1:11" x14ac:dyDescent="0.25">
      <c r="A990" t="s">
        <v>0</v>
      </c>
      <c r="B990">
        <f>VLOOKUP(C990,'[2]Ensaio 1'!$A$2:$F$28,6,FALSE)</f>
        <v>5</v>
      </c>
      <c r="C990" s="36">
        <v>960000003784722</v>
      </c>
      <c r="D990" s="36">
        <v>960000003784722</v>
      </c>
      <c r="E990" s="1">
        <f t="shared" si="15"/>
        <v>44984</v>
      </c>
      <c r="F990" s="51">
        <v>44984.948888888903</v>
      </c>
      <c r="G990" s="51">
        <v>44984.952754629601</v>
      </c>
      <c r="H990" s="52">
        <v>3.240740740741E-3</v>
      </c>
      <c r="I990">
        <v>22.773332595825195</v>
      </c>
      <c r="J990">
        <v>8825.9036796260407</v>
      </c>
      <c r="K990">
        <v>169.56965397926601</v>
      </c>
    </row>
    <row r="991" spans="1:11" x14ac:dyDescent="0.25">
      <c r="A991" t="s">
        <v>0</v>
      </c>
      <c r="B991">
        <f>VLOOKUP(C991,'[2]Ensaio 1'!$A$2:$F$28,6,FALSE)</f>
        <v>5</v>
      </c>
      <c r="C991" s="36">
        <v>960000003784699</v>
      </c>
      <c r="D991" s="36">
        <v>960000003784699</v>
      </c>
      <c r="E991" s="1">
        <f t="shared" si="15"/>
        <v>44984</v>
      </c>
      <c r="F991" s="51">
        <v>44984.957013888903</v>
      </c>
      <c r="G991" s="51">
        <v>44984.960821759298</v>
      </c>
      <c r="H991" s="52">
        <v>3.1018518518520001E-3</v>
      </c>
      <c r="I991">
        <v>22.968334197998047</v>
      </c>
      <c r="J991">
        <v>8838.2562089987005</v>
      </c>
      <c r="K991">
        <v>157.81813406628399</v>
      </c>
    </row>
    <row r="992" spans="1:11" x14ac:dyDescent="0.25">
      <c r="A992" t="s">
        <v>0</v>
      </c>
      <c r="B992">
        <f>VLOOKUP(C992,'[2]Ensaio 1'!$A$2:$F$28,6,FALSE)</f>
        <v>5</v>
      </c>
      <c r="C992" s="36">
        <v>960000003784731</v>
      </c>
      <c r="D992" s="36">
        <v>960000003784731</v>
      </c>
      <c r="E992" s="1">
        <f t="shared" si="15"/>
        <v>44984</v>
      </c>
      <c r="F992" s="51">
        <v>44984.985162037003</v>
      </c>
      <c r="G992" s="51">
        <v>44984.988437499997</v>
      </c>
      <c r="H992" s="52">
        <v>3.2175925925929999E-3</v>
      </c>
      <c r="I992">
        <v>23.643888473510742</v>
      </c>
      <c r="J992">
        <v>9844.5133719939204</v>
      </c>
      <c r="K992">
        <v>218.331432881117</v>
      </c>
    </row>
    <row r="993" spans="1:11" x14ac:dyDescent="0.25">
      <c r="A993" t="s">
        <v>0</v>
      </c>
      <c r="B993">
        <f>VLOOKUP(C993,'[2]Ensaio 1'!$A$2:$F$28,6,FALSE)</f>
        <v>5</v>
      </c>
      <c r="C993" s="36">
        <v>960000003688554</v>
      </c>
      <c r="D993" s="36">
        <v>960000003688554</v>
      </c>
      <c r="E993" s="1">
        <f t="shared" si="15"/>
        <v>44985</v>
      </c>
      <c r="F993" s="51">
        <v>44985.0096990741</v>
      </c>
      <c r="G993" s="51">
        <v>44985.012766203698</v>
      </c>
      <c r="H993" s="52">
        <v>3.0208333333330002E-3</v>
      </c>
      <c r="I993">
        <v>0.232777774333954</v>
      </c>
      <c r="J993">
        <v>9921.6967463021901</v>
      </c>
      <c r="K993">
        <v>174.072004402777</v>
      </c>
    </row>
    <row r="994" spans="1:11" x14ac:dyDescent="0.25">
      <c r="A994" t="s">
        <v>0</v>
      </c>
      <c r="B994">
        <f>VLOOKUP(C994,'[2]Ensaio 1'!$A$2:$F$28,6,FALSE)</f>
        <v>5</v>
      </c>
      <c r="C994" s="36">
        <v>960000003784731</v>
      </c>
      <c r="D994" s="36">
        <v>960000003784731</v>
      </c>
      <c r="E994" s="1">
        <f t="shared" si="15"/>
        <v>44985</v>
      </c>
      <c r="F994" s="51">
        <v>44985.040381944404</v>
      </c>
      <c r="G994" s="51">
        <v>44985.043761574103</v>
      </c>
      <c r="H994" s="52">
        <v>3.275462962963E-3</v>
      </c>
      <c r="I994">
        <v>0.96916669607162498</v>
      </c>
      <c r="J994">
        <v>10424.415936579</v>
      </c>
      <c r="K994">
        <v>204.15053220363001</v>
      </c>
    </row>
    <row r="995" spans="1:11" x14ac:dyDescent="0.25">
      <c r="A995" t="s">
        <v>0</v>
      </c>
      <c r="B995">
        <f>VLOOKUP(C995,'[2]Ensaio 1'!$A$2:$F$28,6,FALSE)</f>
        <v>5</v>
      </c>
      <c r="C995" s="36">
        <v>960000003784722</v>
      </c>
      <c r="D995" s="36">
        <v>960000003784722</v>
      </c>
      <c r="E995" s="1">
        <f t="shared" si="15"/>
        <v>44985</v>
      </c>
      <c r="F995" s="51">
        <v>44985.065636574102</v>
      </c>
      <c r="G995" s="51">
        <v>44985.068391203698</v>
      </c>
      <c r="H995" s="52">
        <v>2.1296296296300001E-3</v>
      </c>
      <c r="I995">
        <v>1.5752778053283689</v>
      </c>
      <c r="J995">
        <v>10022.334323769201</v>
      </c>
      <c r="K995">
        <v>191.19869021643399</v>
      </c>
    </row>
    <row r="996" spans="1:11" x14ac:dyDescent="0.25">
      <c r="A996" t="s">
        <v>0</v>
      </c>
      <c r="B996">
        <f>VLOOKUP(C996,'[2]Ensaio 1'!$A$2:$F$28,6,FALSE)</f>
        <v>5</v>
      </c>
      <c r="C996" s="36">
        <v>960000003784699</v>
      </c>
      <c r="D996" s="36">
        <v>960000003784699</v>
      </c>
      <c r="E996" s="1">
        <f t="shared" si="15"/>
        <v>44985</v>
      </c>
      <c r="F996" s="51">
        <v>44985.074363425898</v>
      </c>
      <c r="G996" s="51">
        <v>44985.078182870398</v>
      </c>
      <c r="H996" s="52">
        <v>2.905092592593E-3</v>
      </c>
      <c r="I996">
        <v>1.784722208976746</v>
      </c>
      <c r="J996">
        <v>8137.1114570248301</v>
      </c>
      <c r="K996">
        <v>153.538920063511</v>
      </c>
    </row>
    <row r="997" spans="1:11" x14ac:dyDescent="0.25">
      <c r="A997" t="s">
        <v>0</v>
      </c>
      <c r="B997">
        <f>VLOOKUP(C997,'[2]Ensaio 1'!$A$2:$F$28,6,FALSE)</f>
        <v>5</v>
      </c>
      <c r="C997" s="36">
        <v>960000003784740</v>
      </c>
      <c r="D997" s="36">
        <v>960000003784740</v>
      </c>
      <c r="E997" s="1">
        <f t="shared" si="15"/>
        <v>44985</v>
      </c>
      <c r="F997" s="51">
        <v>44985.078553240703</v>
      </c>
      <c r="G997" s="51">
        <v>44985.082025463002</v>
      </c>
      <c r="H997" s="52">
        <v>3.4259259259260002E-3</v>
      </c>
      <c r="I997">
        <v>1.8852777481079099</v>
      </c>
      <c r="J997">
        <v>8877.8509761103905</v>
      </c>
      <c r="K997">
        <v>219.01666335741101</v>
      </c>
    </row>
    <row r="998" spans="1:11" x14ac:dyDescent="0.25">
      <c r="A998" t="s">
        <v>0</v>
      </c>
      <c r="B998">
        <f>VLOOKUP(C998,'[2]Ensaio 1'!$A$2:$F$28,6,FALSE)</f>
        <v>5</v>
      </c>
      <c r="C998" s="36">
        <v>960000003784722</v>
      </c>
      <c r="D998" s="36">
        <v>960000003784722</v>
      </c>
      <c r="E998" s="1">
        <f t="shared" si="15"/>
        <v>44985</v>
      </c>
      <c r="F998" s="51">
        <v>44985.278206018498</v>
      </c>
      <c r="G998" s="51">
        <v>44985.282118055598</v>
      </c>
      <c r="H998" s="52">
        <v>3.2523148148149998E-3</v>
      </c>
      <c r="I998">
        <v>6.6769442558288574</v>
      </c>
      <c r="J998">
        <v>8555.7724421141902</v>
      </c>
      <c r="K998">
        <v>163.79571326319899</v>
      </c>
    </row>
    <row r="999" spans="1:11" x14ac:dyDescent="0.25">
      <c r="A999" t="s">
        <v>0</v>
      </c>
      <c r="B999">
        <f>VLOOKUP(C999,'[2]Ensaio 1'!$A$2:$F$28,6,FALSE)</f>
        <v>5</v>
      </c>
      <c r="C999" s="36">
        <v>960000003784731</v>
      </c>
      <c r="D999" s="36">
        <v>960000003784731</v>
      </c>
      <c r="E999" s="1">
        <f t="shared" si="15"/>
        <v>44985</v>
      </c>
      <c r="F999" s="51">
        <v>44985.285659722198</v>
      </c>
      <c r="G999" s="51">
        <v>44985.289351851898</v>
      </c>
      <c r="H999" s="52">
        <v>3.402777777778E-3</v>
      </c>
      <c r="I999">
        <v>6.8558335304260254</v>
      </c>
      <c r="J999">
        <v>9312.2597126253695</v>
      </c>
      <c r="K999">
        <v>200.56524613356299</v>
      </c>
    </row>
    <row r="1000" spans="1:11" x14ac:dyDescent="0.25">
      <c r="A1000" t="s">
        <v>0</v>
      </c>
      <c r="B1000">
        <f>VLOOKUP(C1000,'[2]Ensaio 1'!$A$2:$F$28,6,FALSE)</f>
        <v>5</v>
      </c>
      <c r="C1000" s="36">
        <v>960000003688554</v>
      </c>
      <c r="D1000" s="36">
        <v>960000003688554</v>
      </c>
      <c r="E1000" s="1">
        <f t="shared" si="15"/>
        <v>44985</v>
      </c>
      <c r="F1000" s="51">
        <v>44985.295358796298</v>
      </c>
      <c r="G1000" s="51">
        <v>44985.298831018503</v>
      </c>
      <c r="H1000" s="52">
        <v>3.3912037037040002E-3</v>
      </c>
      <c r="I1000">
        <v>7.0886111259460449</v>
      </c>
      <c r="J1000">
        <v>8720.3764974430105</v>
      </c>
      <c r="K1000">
        <v>154.11078995424401</v>
      </c>
    </row>
    <row r="1001" spans="1:11" x14ac:dyDescent="0.25">
      <c r="A1001" t="s">
        <v>0</v>
      </c>
      <c r="B1001">
        <f>VLOOKUP(C1001,'[2]Ensaio 1'!$A$2:$F$28,6,FALSE)</f>
        <v>5</v>
      </c>
      <c r="C1001" s="36">
        <v>960000003784699</v>
      </c>
      <c r="D1001" s="36">
        <v>960000003784699</v>
      </c>
      <c r="E1001" s="1">
        <f t="shared" si="15"/>
        <v>44985</v>
      </c>
      <c r="F1001" s="51">
        <v>44985.301284722198</v>
      </c>
      <c r="G1001" s="51">
        <v>44985.304699074099</v>
      </c>
      <c r="H1001" s="52">
        <v>3.0902777777780002E-3</v>
      </c>
      <c r="I1001">
        <v>7.2308335304260254</v>
      </c>
      <c r="J1001">
        <v>7951.0004599299</v>
      </c>
      <c r="K1001">
        <v>143.34277309013501</v>
      </c>
    </row>
    <row r="1002" spans="1:11" x14ac:dyDescent="0.25">
      <c r="A1002" t="s">
        <v>0</v>
      </c>
      <c r="B1002">
        <f>VLOOKUP(C1002,'[2]Ensaio 1'!$A$2:$F$28,6,FALSE)</f>
        <v>5</v>
      </c>
      <c r="C1002" s="36">
        <v>960000003784740</v>
      </c>
      <c r="D1002" s="36">
        <v>960000003784740</v>
      </c>
      <c r="E1002" s="1">
        <f t="shared" si="15"/>
        <v>44985</v>
      </c>
      <c r="F1002" s="51">
        <v>44985.325023148202</v>
      </c>
      <c r="G1002" s="51">
        <v>44985.329421296301</v>
      </c>
      <c r="H1002" s="52">
        <v>2.9861111111109998E-3</v>
      </c>
      <c r="I1002">
        <v>7.8005557060241699</v>
      </c>
      <c r="J1002">
        <v>8412.2388883868898</v>
      </c>
      <c r="K1002">
        <v>263.88794028914498</v>
      </c>
    </row>
    <row r="1003" spans="1:11" x14ac:dyDescent="0.25">
      <c r="A1003" t="s">
        <v>0</v>
      </c>
      <c r="B1003">
        <f>VLOOKUP(C1003,'[2]Ensaio 1'!$A$2:$F$28,6,FALSE)</f>
        <v>2</v>
      </c>
      <c r="C1003" s="36">
        <v>900248002085907</v>
      </c>
      <c r="D1003" s="36">
        <v>900248002085907</v>
      </c>
      <c r="E1003" s="1">
        <f t="shared" si="15"/>
        <v>44985</v>
      </c>
      <c r="F1003" s="51">
        <v>44985.411932870396</v>
      </c>
      <c r="G1003" s="51">
        <v>44985.415150462999</v>
      </c>
      <c r="H1003" s="52">
        <v>3.1481481481479999E-3</v>
      </c>
      <c r="I1003">
        <v>9.8863887786865234</v>
      </c>
      <c r="J1003">
        <v>9155.9345862070895</v>
      </c>
      <c r="K1003">
        <v>295.33291189391599</v>
      </c>
    </row>
    <row r="1004" spans="1:11" x14ac:dyDescent="0.25">
      <c r="A1004" t="s">
        <v>0</v>
      </c>
      <c r="B1004">
        <f>VLOOKUP(C1004,'[2]Ensaio 1'!$A$2:$F$28,6,FALSE)</f>
        <v>2</v>
      </c>
      <c r="C1004" s="36">
        <v>960000003516311</v>
      </c>
      <c r="D1004" s="36">
        <v>960000003516311</v>
      </c>
      <c r="E1004" s="1">
        <f t="shared" si="15"/>
        <v>44985</v>
      </c>
      <c r="F1004" s="51">
        <v>44985.416562500002</v>
      </c>
      <c r="G1004" s="51">
        <v>44985.422083333302</v>
      </c>
      <c r="H1004" s="52">
        <v>3.4375E-3</v>
      </c>
      <c r="I1004">
        <v>9.9975004196166992</v>
      </c>
      <c r="J1004">
        <v>7847.7634053287102</v>
      </c>
      <c r="K1004">
        <v>168.02711056376</v>
      </c>
    </row>
    <row r="1005" spans="1:11" x14ac:dyDescent="0.25">
      <c r="A1005" t="s">
        <v>0</v>
      </c>
      <c r="B1005">
        <f>VLOOKUP(C1005,'[2]Ensaio 1'!$A$2:$F$28,6,FALSE)</f>
        <v>2</v>
      </c>
      <c r="C1005" s="36">
        <v>960000003827747</v>
      </c>
      <c r="D1005" s="36">
        <v>960000003827747</v>
      </c>
      <c r="E1005" s="1">
        <f t="shared" si="15"/>
        <v>44985</v>
      </c>
      <c r="F1005" s="51">
        <v>44985.428229166697</v>
      </c>
      <c r="G1005" s="51">
        <v>44985.431909722203</v>
      </c>
      <c r="H1005" s="52">
        <v>3.3449074074069999E-3</v>
      </c>
      <c r="I1005">
        <v>10.277500152587891</v>
      </c>
      <c r="J1005">
        <v>6583.4584267956798</v>
      </c>
      <c r="K1005">
        <v>151.436971311246</v>
      </c>
    </row>
    <row r="1006" spans="1:11" x14ac:dyDescent="0.25">
      <c r="A1006" t="s">
        <v>0</v>
      </c>
      <c r="B1006">
        <f>VLOOKUP(C1006,'[2]Ensaio 1'!$A$2:$F$28,6,FALSE)</f>
        <v>2</v>
      </c>
      <c r="C1006" s="36">
        <v>960000003688457</v>
      </c>
      <c r="D1006" s="36">
        <v>960000003688457</v>
      </c>
      <c r="E1006" s="1">
        <f t="shared" si="15"/>
        <v>44985</v>
      </c>
      <c r="F1006" s="51">
        <v>44985.433576388903</v>
      </c>
      <c r="G1006" s="51">
        <v>44985.436550925901</v>
      </c>
      <c r="H1006" s="52">
        <v>2.905092592593E-3</v>
      </c>
      <c r="I1006">
        <v>10.40583324432373</v>
      </c>
      <c r="J1006">
        <v>7243.9518059994498</v>
      </c>
      <c r="K1006">
        <v>315.77119176815302</v>
      </c>
    </row>
    <row r="1007" spans="1:11" x14ac:dyDescent="0.25">
      <c r="A1007" t="s">
        <v>0</v>
      </c>
      <c r="B1007">
        <f>VLOOKUP(C1007,'[2]Ensaio 1'!$A$2:$F$28,6,FALSE)</f>
        <v>2</v>
      </c>
      <c r="C1007" s="36">
        <v>900248002084301</v>
      </c>
      <c r="D1007" s="36">
        <v>900248002084301</v>
      </c>
      <c r="E1007" s="1">
        <f t="shared" si="15"/>
        <v>44985</v>
      </c>
      <c r="F1007" s="51">
        <v>44985.515856481499</v>
      </c>
      <c r="G1007" s="51">
        <v>44985.520648148202</v>
      </c>
      <c r="H1007" s="52">
        <v>2.905092592593E-3</v>
      </c>
      <c r="I1007">
        <v>12.380555152893066</v>
      </c>
      <c r="J1007">
        <v>7892.71303184318</v>
      </c>
      <c r="K1007">
        <v>77.967840031451402</v>
      </c>
    </row>
    <row r="1008" spans="1:11" x14ac:dyDescent="0.25">
      <c r="A1008" t="s">
        <v>0</v>
      </c>
      <c r="B1008">
        <f>VLOOKUP(C1008,'[2]Ensaio 1'!$A$2:$F$28,6,FALSE)</f>
        <v>2</v>
      </c>
      <c r="C1008" s="36">
        <v>960000003516311</v>
      </c>
      <c r="D1008" s="36">
        <v>960000003516311</v>
      </c>
      <c r="E1008" s="1">
        <f t="shared" si="15"/>
        <v>44985</v>
      </c>
      <c r="F1008" s="51">
        <v>44985.5211458333</v>
      </c>
      <c r="G1008" s="51">
        <v>44985.5247453704</v>
      </c>
      <c r="H1008" s="52">
        <v>3.541666666667E-3</v>
      </c>
      <c r="I1008">
        <v>12.507499694824219</v>
      </c>
      <c r="J1008">
        <v>7198.1222113986696</v>
      </c>
      <c r="K1008">
        <v>174.03031791771099</v>
      </c>
    </row>
    <row r="1009" spans="1:11" x14ac:dyDescent="0.25">
      <c r="A1009" t="s">
        <v>0</v>
      </c>
      <c r="B1009">
        <f>VLOOKUP(C1009,'[2]Ensaio 1'!$A$2:$F$28,6,FALSE)</f>
        <v>2</v>
      </c>
      <c r="C1009" s="36">
        <v>900248002084301</v>
      </c>
      <c r="D1009" s="36">
        <v>900248002084301</v>
      </c>
      <c r="E1009" s="1">
        <f t="shared" si="15"/>
        <v>44985</v>
      </c>
      <c r="F1009" s="51">
        <v>44985.596377314803</v>
      </c>
      <c r="G1009" s="51">
        <v>44985.6030439815</v>
      </c>
      <c r="H1009" s="52">
        <v>2.2453703703699999E-3</v>
      </c>
      <c r="I1009">
        <v>14.313055992126465</v>
      </c>
      <c r="J1009">
        <v>7754.4317549656698</v>
      </c>
      <c r="K1009">
        <v>168.86960601656901</v>
      </c>
    </row>
    <row r="1010" spans="1:11" x14ac:dyDescent="0.25">
      <c r="A1010" t="s">
        <v>0</v>
      </c>
      <c r="B1010">
        <f>VLOOKUP(C1010,'[2]Ensaio 1'!$A$2:$F$28,6,FALSE)</f>
        <v>2</v>
      </c>
      <c r="C1010" s="36">
        <v>960000003827747</v>
      </c>
      <c r="D1010" s="36">
        <v>960000003827747</v>
      </c>
      <c r="E1010" s="1">
        <f t="shared" si="15"/>
        <v>44985</v>
      </c>
      <c r="F1010" s="51">
        <v>44985.636817129598</v>
      </c>
      <c r="G1010" s="51">
        <v>44985.646574074097</v>
      </c>
      <c r="H1010" s="52">
        <v>2.9976851851850001E-3</v>
      </c>
      <c r="I1010">
        <v>15.283611297607422</v>
      </c>
      <c r="J1010">
        <v>8226.8959452810195</v>
      </c>
      <c r="K1010">
        <v>151.124622350659</v>
      </c>
    </row>
    <row r="1011" spans="1:11" x14ac:dyDescent="0.25">
      <c r="A1011" t="s">
        <v>0</v>
      </c>
      <c r="B1011">
        <f>VLOOKUP(C1011,'[2]Ensaio 1'!$A$2:$F$28,6,FALSE)</f>
        <v>2</v>
      </c>
      <c r="C1011" s="36">
        <v>960000003516311</v>
      </c>
      <c r="D1011" s="36">
        <v>960000003516311</v>
      </c>
      <c r="E1011" s="1">
        <f t="shared" si="15"/>
        <v>44985</v>
      </c>
      <c r="F1011" s="51">
        <v>44985.664814814802</v>
      </c>
      <c r="G1011" s="51">
        <v>44985.667743055601</v>
      </c>
      <c r="H1011" s="52">
        <v>2.7777777777779999E-3</v>
      </c>
      <c r="I1011">
        <v>15.95555591583252</v>
      </c>
      <c r="J1011">
        <v>9295.97129074636</v>
      </c>
      <c r="K1011">
        <v>256.225416116715</v>
      </c>
    </row>
    <row r="1012" spans="1:11" x14ac:dyDescent="0.25">
      <c r="A1012" t="s">
        <v>0</v>
      </c>
      <c r="B1012">
        <f>VLOOKUP(C1012,'[2]Ensaio 1'!$A$2:$F$28,6,FALSE)</f>
        <v>2</v>
      </c>
      <c r="C1012" s="36">
        <v>900248002085907</v>
      </c>
      <c r="D1012" s="36">
        <v>900248002085907</v>
      </c>
      <c r="E1012" s="1">
        <f t="shared" si="15"/>
        <v>44985</v>
      </c>
      <c r="F1012" s="51">
        <v>44985.7175810185</v>
      </c>
      <c r="G1012" s="51">
        <v>44985.721215277801</v>
      </c>
      <c r="H1012" s="52">
        <v>3.5648148148150001E-3</v>
      </c>
      <c r="I1012">
        <v>17.221944808959961</v>
      </c>
      <c r="J1012">
        <v>10674.605643466501</v>
      </c>
      <c r="K1012">
        <v>233.277372991965</v>
      </c>
    </row>
    <row r="1013" spans="1:11" x14ac:dyDescent="0.25">
      <c r="A1013" t="s">
        <v>0</v>
      </c>
      <c r="B1013">
        <f>VLOOKUP(C1013,'[2]Ensaio 1'!$A$2:$F$28,6,FALSE)</f>
        <v>2</v>
      </c>
      <c r="C1013" s="36">
        <v>900248002084301</v>
      </c>
      <c r="D1013" s="36">
        <v>900248002084301</v>
      </c>
      <c r="E1013" s="1">
        <f t="shared" si="15"/>
        <v>44985</v>
      </c>
      <c r="F1013" s="51">
        <v>44985.733356481498</v>
      </c>
      <c r="G1013" s="51">
        <v>44985.736921296302</v>
      </c>
      <c r="H1013" s="52">
        <v>3.4953703703700001E-3</v>
      </c>
      <c r="I1013">
        <v>17.600555419921875</v>
      </c>
      <c r="J1013">
        <v>8685.4546067749998</v>
      </c>
      <c r="K1013">
        <v>206.30028442353699</v>
      </c>
    </row>
    <row r="1014" spans="1:11" x14ac:dyDescent="0.25">
      <c r="A1014" t="s">
        <v>0</v>
      </c>
      <c r="B1014">
        <f>VLOOKUP(C1014,'[2]Ensaio 1'!$A$2:$F$28,6,FALSE)</f>
        <v>2</v>
      </c>
      <c r="C1014" s="36">
        <v>960000003516311</v>
      </c>
      <c r="D1014" s="36">
        <v>960000003516311</v>
      </c>
      <c r="E1014" s="1">
        <f t="shared" si="15"/>
        <v>44985</v>
      </c>
      <c r="F1014" s="51">
        <v>44985.737500000003</v>
      </c>
      <c r="G1014" s="51">
        <v>44985.7422337963</v>
      </c>
      <c r="H1014" s="52">
        <v>4.6296296296299997E-3</v>
      </c>
      <c r="I1014">
        <v>17.700000762939453</v>
      </c>
      <c r="J1014">
        <v>9644.7325756507398</v>
      </c>
      <c r="K1014">
        <v>290.20772353950298</v>
      </c>
    </row>
    <row r="1015" spans="1:11" x14ac:dyDescent="0.25">
      <c r="A1015" t="s">
        <v>0</v>
      </c>
      <c r="B1015">
        <f>VLOOKUP(C1015,'[2]Ensaio 1'!$A$2:$F$28,6,FALSE)</f>
        <v>2</v>
      </c>
      <c r="C1015" s="36">
        <v>960000003827747</v>
      </c>
      <c r="D1015" s="36">
        <v>960000003827747</v>
      </c>
      <c r="E1015" s="1">
        <f t="shared" si="15"/>
        <v>44985</v>
      </c>
      <c r="F1015" s="51">
        <v>44985.928414351903</v>
      </c>
      <c r="G1015" s="51">
        <v>44985.933009259301</v>
      </c>
      <c r="H1015" s="52">
        <v>4.0625000000000001E-3</v>
      </c>
      <c r="I1015">
        <v>22.281944274902344</v>
      </c>
      <c r="J1015">
        <v>9097.5916789118892</v>
      </c>
      <c r="K1015">
        <v>193.064000912795</v>
      </c>
    </row>
    <row r="1016" spans="1:11" x14ac:dyDescent="0.25">
      <c r="A1016" t="s">
        <v>0</v>
      </c>
      <c r="B1016">
        <f>VLOOKUP(C1016,'[2]Ensaio 1'!$A$2:$F$28,6,FALSE)</f>
        <v>2</v>
      </c>
      <c r="C1016" s="36">
        <v>960000003688457</v>
      </c>
      <c r="D1016" s="36">
        <v>960000003688457</v>
      </c>
      <c r="E1016" s="1">
        <f t="shared" si="15"/>
        <v>44985</v>
      </c>
      <c r="F1016" s="51">
        <v>44985.938993055599</v>
      </c>
      <c r="G1016" s="51">
        <v>44985.942592592597</v>
      </c>
      <c r="H1016" s="52">
        <v>3.506944444444E-3</v>
      </c>
      <c r="I1016">
        <v>22.535833358764648</v>
      </c>
      <c r="J1016">
        <v>8957.4479849249201</v>
      </c>
      <c r="K1016">
        <v>258.36112581585002</v>
      </c>
    </row>
    <row r="1017" spans="1:11" x14ac:dyDescent="0.25">
      <c r="A1017" t="s">
        <v>0</v>
      </c>
      <c r="B1017">
        <f>VLOOKUP(C1017,'[2]Ensaio 1'!$A$2:$F$28,6,FALSE)</f>
        <v>2</v>
      </c>
      <c r="C1017" s="36">
        <v>900248002084301</v>
      </c>
      <c r="D1017" s="36">
        <v>900248002084301</v>
      </c>
      <c r="E1017" s="1">
        <f t="shared" si="15"/>
        <v>44985</v>
      </c>
      <c r="F1017" s="51">
        <v>44985.951851851903</v>
      </c>
      <c r="G1017" s="51">
        <v>44985.955138888901</v>
      </c>
      <c r="H1017" s="52">
        <v>3.2291666666670001E-3</v>
      </c>
      <c r="I1017">
        <v>22.844444274902344</v>
      </c>
      <c r="J1017">
        <v>11179.557800644099</v>
      </c>
      <c r="K1017">
        <v>265.46108009177402</v>
      </c>
    </row>
    <row r="1018" spans="1:11" x14ac:dyDescent="0.25">
      <c r="A1018" t="s">
        <v>0</v>
      </c>
      <c r="B1018">
        <f>VLOOKUP(C1018,'[2]Ensaio 1'!$A$2:$F$28,6,FALSE)</f>
        <v>2</v>
      </c>
      <c r="C1018" s="36">
        <v>960000003516311</v>
      </c>
      <c r="D1018" s="36">
        <v>960000003516311</v>
      </c>
      <c r="E1018" s="1">
        <f t="shared" si="15"/>
        <v>44986</v>
      </c>
      <c r="F1018" s="51">
        <v>44986.009166666699</v>
      </c>
      <c r="G1018" s="51">
        <v>44986.012511574103</v>
      </c>
      <c r="H1018" s="52">
        <v>3.240740740741E-3</v>
      </c>
      <c r="I1018">
        <v>0.21999999880790699</v>
      </c>
      <c r="J1018">
        <v>10192.903391456901</v>
      </c>
      <c r="K1018">
        <v>221.38467788315799</v>
      </c>
    </row>
    <row r="1019" spans="1:11" x14ac:dyDescent="0.25">
      <c r="A1019" t="s">
        <v>0</v>
      </c>
      <c r="B1019">
        <f>VLOOKUP(C1019,'[2]Ensaio 1'!$A$2:$F$28,6,FALSE)</f>
        <v>2</v>
      </c>
      <c r="C1019" s="36">
        <v>900248002084301</v>
      </c>
      <c r="D1019" s="36">
        <v>900248002084301</v>
      </c>
      <c r="E1019" s="1">
        <f t="shared" si="15"/>
        <v>44986</v>
      </c>
      <c r="F1019" s="51">
        <v>44986.0171064815</v>
      </c>
      <c r="G1019" s="51">
        <v>44986.021134259303</v>
      </c>
      <c r="H1019" s="52">
        <v>3.0439814814809999E-3</v>
      </c>
      <c r="I1019">
        <v>0.41055554151535001</v>
      </c>
      <c r="J1019">
        <v>12100.8010512618</v>
      </c>
      <c r="K1019">
        <v>294.69088026428199</v>
      </c>
    </row>
    <row r="1020" spans="1:11" x14ac:dyDescent="0.25">
      <c r="A1020" t="s">
        <v>0</v>
      </c>
      <c r="B1020">
        <f>VLOOKUP(C1020,'[2]Ensaio 1'!$A$2:$F$28,6,FALSE)</f>
        <v>2</v>
      </c>
      <c r="C1020" s="36">
        <v>900248002085907</v>
      </c>
      <c r="D1020" s="36">
        <v>900248002085907</v>
      </c>
      <c r="E1020" s="1">
        <f t="shared" si="15"/>
        <v>44986</v>
      </c>
      <c r="F1020" s="51">
        <v>44986.022650462997</v>
      </c>
      <c r="G1020" s="51">
        <v>44986.026041666701</v>
      </c>
      <c r="H1020" s="52">
        <v>3.333333333333E-3</v>
      </c>
      <c r="I1020">
        <v>0.54361110925674405</v>
      </c>
      <c r="J1020">
        <v>10165.1054115723</v>
      </c>
      <c r="K1020">
        <v>232.55562340068599</v>
      </c>
    </row>
    <row r="1021" spans="1:11" x14ac:dyDescent="0.25">
      <c r="A1021" t="s">
        <v>0</v>
      </c>
      <c r="B1021">
        <f>VLOOKUP(C1021,'[2]Ensaio 1'!$A$2:$F$28,6,FALSE)</f>
        <v>2</v>
      </c>
      <c r="C1021" s="36">
        <v>960000003827747</v>
      </c>
      <c r="D1021" s="36">
        <v>960000003827747</v>
      </c>
      <c r="E1021" s="1">
        <f t="shared" si="15"/>
        <v>44986</v>
      </c>
      <c r="F1021" s="51">
        <v>44986.065972222197</v>
      </c>
      <c r="G1021" s="51">
        <v>44986.0695949074</v>
      </c>
      <c r="H1021" s="52">
        <v>3.3912037037040002E-3</v>
      </c>
      <c r="I1021">
        <v>1.583333373069763</v>
      </c>
      <c r="J1021">
        <v>9140.7828744886592</v>
      </c>
      <c r="K1021">
        <v>244.46912843506499</v>
      </c>
    </row>
    <row r="1022" spans="1:11" x14ac:dyDescent="0.25">
      <c r="A1022" t="s">
        <v>0</v>
      </c>
      <c r="B1022">
        <f>VLOOKUP(C1022,'[2]Ensaio 1'!$A$2:$F$28,6,FALSE)</f>
        <v>2</v>
      </c>
      <c r="C1022" s="36">
        <v>960000003516311</v>
      </c>
      <c r="D1022" s="36">
        <v>960000003516311</v>
      </c>
      <c r="E1022" s="1">
        <f t="shared" si="15"/>
        <v>44986</v>
      </c>
      <c r="F1022" s="51">
        <v>44986.218807870398</v>
      </c>
      <c r="G1022" s="51">
        <v>44986.223564814798</v>
      </c>
      <c r="H1022" s="52">
        <v>4.5138888888890004E-3</v>
      </c>
      <c r="I1022">
        <v>5.2513890266418457</v>
      </c>
      <c r="J1022">
        <v>8348.8731015472604</v>
      </c>
      <c r="K1022">
        <v>144.764307441163</v>
      </c>
    </row>
    <row r="1023" spans="1:11" x14ac:dyDescent="0.25">
      <c r="A1023" t="s">
        <v>0</v>
      </c>
      <c r="B1023">
        <f>VLOOKUP(C1023,'[2]Ensaio 1'!$A$2:$F$28,6,FALSE)</f>
        <v>2</v>
      </c>
      <c r="C1023" s="36">
        <v>900248002084301</v>
      </c>
      <c r="D1023" s="36">
        <v>900248002084301</v>
      </c>
      <c r="E1023" s="1">
        <f t="shared" si="15"/>
        <v>44986</v>
      </c>
      <c r="F1023" s="51">
        <v>44986.282071759299</v>
      </c>
      <c r="G1023" s="51">
        <v>44986.285405092603</v>
      </c>
      <c r="H1023" s="52">
        <v>3.2638888888890001E-3</v>
      </c>
      <c r="I1023">
        <v>6.7697219848632813</v>
      </c>
      <c r="J1023">
        <v>9845.3576034596208</v>
      </c>
      <c r="K1023">
        <v>235.268867262638</v>
      </c>
    </row>
    <row r="1024" spans="1:11" x14ac:dyDescent="0.25">
      <c r="A1024" t="s">
        <v>0</v>
      </c>
      <c r="B1024">
        <f>VLOOKUP(C1024,'[2]Ensaio 1'!$A$2:$F$28,6,FALSE)</f>
        <v>2</v>
      </c>
      <c r="C1024" s="36">
        <v>900248002085907</v>
      </c>
      <c r="D1024" s="36">
        <v>900248002085907</v>
      </c>
      <c r="E1024" s="1">
        <f t="shared" si="15"/>
        <v>44986</v>
      </c>
      <c r="F1024" s="51">
        <v>44986.307500000003</v>
      </c>
      <c r="G1024" s="51">
        <v>44986.311099537001</v>
      </c>
      <c r="H1024" s="52">
        <v>3.5532407407409998E-3</v>
      </c>
      <c r="I1024">
        <v>7.380000114440918</v>
      </c>
      <c r="J1024">
        <v>8456.6773207222104</v>
      </c>
      <c r="K1024">
        <v>147.263177298805</v>
      </c>
    </row>
    <row r="1025" spans="1:11" x14ac:dyDescent="0.25">
      <c r="A1025" t="s">
        <v>0</v>
      </c>
      <c r="B1025">
        <f>VLOOKUP(C1025,'[2]Ensaio 1'!$A$2:$F$28,6,FALSE)</f>
        <v>2</v>
      </c>
      <c r="C1025" s="36">
        <v>960000003688457</v>
      </c>
      <c r="D1025" s="36">
        <v>960000003688457</v>
      </c>
      <c r="E1025" s="1">
        <f t="shared" si="15"/>
        <v>44986</v>
      </c>
      <c r="F1025" s="51">
        <v>44986.313067129602</v>
      </c>
      <c r="G1025" s="51">
        <v>44986.316840277803</v>
      </c>
      <c r="H1025" s="52">
        <v>3.240740740741E-3</v>
      </c>
      <c r="I1025">
        <v>7.5136113166809082</v>
      </c>
      <c r="J1025">
        <v>9472.3657865026107</v>
      </c>
      <c r="K1025">
        <v>209.657156479901</v>
      </c>
    </row>
    <row r="1026" spans="1:11" x14ac:dyDescent="0.25">
      <c r="A1026" t="s">
        <v>0</v>
      </c>
      <c r="B1026">
        <f>VLOOKUP(C1026,'[2]Ensaio 1'!$A$2:$F$28,6,FALSE)</f>
        <v>2</v>
      </c>
      <c r="C1026" s="36">
        <v>960000003827747</v>
      </c>
      <c r="D1026" s="36">
        <v>960000003827747</v>
      </c>
      <c r="E1026" s="1">
        <f t="shared" ref="E1026:E1089" si="16">ROUNDDOWN(LEFT(F1026,10),0)</f>
        <v>44986</v>
      </c>
      <c r="F1026" s="51">
        <v>44986.320081018501</v>
      </c>
      <c r="G1026" s="51">
        <v>44986.3265509259</v>
      </c>
      <c r="H1026" s="52">
        <v>3.842592592593E-3</v>
      </c>
      <c r="I1026">
        <v>7.6819443702697754</v>
      </c>
      <c r="J1026">
        <v>7793.9685618693302</v>
      </c>
      <c r="K1026">
        <v>134.69369113943901</v>
      </c>
    </row>
    <row r="1027" spans="1:11" x14ac:dyDescent="0.25">
      <c r="A1027" t="s">
        <v>0</v>
      </c>
      <c r="B1027">
        <f>VLOOKUP(C1027,'[2]Ensaio 1'!$A$2:$F$28,6,FALSE)</f>
        <v>2</v>
      </c>
      <c r="C1027" s="36">
        <v>960000003516311</v>
      </c>
      <c r="D1027" s="36">
        <v>960000003516311</v>
      </c>
      <c r="E1027" s="1">
        <f t="shared" si="16"/>
        <v>44986</v>
      </c>
      <c r="F1027" s="51">
        <v>44986.442268518498</v>
      </c>
      <c r="G1027" s="51">
        <v>44986.446539351899</v>
      </c>
      <c r="H1027" s="52">
        <v>3.9236111111110002E-3</v>
      </c>
      <c r="I1027">
        <v>10.614444732666016</v>
      </c>
      <c r="J1027">
        <v>7025.8343250314401</v>
      </c>
      <c r="K1027">
        <v>111.47753481996899</v>
      </c>
    </row>
    <row r="1028" spans="1:11" x14ac:dyDescent="0.25">
      <c r="A1028" t="s">
        <v>0</v>
      </c>
      <c r="B1028">
        <f>VLOOKUP(C1028,'[2]Ensaio 1'!$A$2:$F$28,6,FALSE)</f>
        <v>2</v>
      </c>
      <c r="C1028" s="36">
        <v>900248002085907</v>
      </c>
      <c r="D1028" s="36">
        <v>900248002085907</v>
      </c>
      <c r="E1028" s="1">
        <f t="shared" si="16"/>
        <v>44986</v>
      </c>
      <c r="F1028" s="51">
        <v>44986.614548611098</v>
      </c>
      <c r="G1028" s="51">
        <v>44986.617939814802</v>
      </c>
      <c r="H1028" s="52">
        <v>3.3449074074069999E-3</v>
      </c>
      <c r="I1028">
        <v>14.749166488647461</v>
      </c>
      <c r="J1028">
        <v>9381.2507065797108</v>
      </c>
      <c r="K1028">
        <v>197.209943403224</v>
      </c>
    </row>
    <row r="1029" spans="1:11" x14ac:dyDescent="0.25">
      <c r="A1029" t="s">
        <v>0</v>
      </c>
      <c r="B1029">
        <f>VLOOKUP(C1029,'[2]Ensaio 1'!$A$2:$F$28,6,FALSE)</f>
        <v>2</v>
      </c>
      <c r="C1029" s="36">
        <v>960000003688457</v>
      </c>
      <c r="D1029" s="36">
        <v>960000003688457</v>
      </c>
      <c r="E1029" s="1">
        <f t="shared" si="16"/>
        <v>44986</v>
      </c>
      <c r="F1029" s="51">
        <v>44986.644016203703</v>
      </c>
      <c r="G1029" s="51">
        <v>44986.6476273148</v>
      </c>
      <c r="H1029" s="52">
        <v>3.5532407407409998E-3</v>
      </c>
      <c r="I1029">
        <v>15.456388473510742</v>
      </c>
      <c r="J1029">
        <v>8646.3710535063092</v>
      </c>
      <c r="K1029">
        <v>214.77674520930799</v>
      </c>
    </row>
    <row r="1030" spans="1:11" x14ac:dyDescent="0.25">
      <c r="A1030" t="s">
        <v>0</v>
      </c>
      <c r="B1030">
        <f>VLOOKUP(C1030,'[2]Ensaio 1'!$A$2:$F$28,6,FALSE)</f>
        <v>2</v>
      </c>
      <c r="C1030" s="36">
        <v>960000003827747</v>
      </c>
      <c r="D1030" s="36">
        <v>960000003827747</v>
      </c>
      <c r="E1030" s="1">
        <f t="shared" si="16"/>
        <v>44986</v>
      </c>
      <c r="F1030" s="51">
        <v>44986.655104166697</v>
      </c>
      <c r="G1030" s="51">
        <v>44986.658865740697</v>
      </c>
      <c r="H1030" s="52">
        <v>3.2986111111110001E-3</v>
      </c>
      <c r="I1030">
        <v>15.722499847412109</v>
      </c>
      <c r="J1030">
        <v>8581.6869626328098</v>
      </c>
      <c r="K1030">
        <v>178.64208145096501</v>
      </c>
    </row>
    <row r="1031" spans="1:11" x14ac:dyDescent="0.25">
      <c r="A1031" t="s">
        <v>0</v>
      </c>
      <c r="B1031">
        <f>VLOOKUP(C1031,'[2]Ensaio 1'!$A$2:$F$28,6,FALSE)</f>
        <v>2</v>
      </c>
      <c r="C1031" s="36">
        <v>960000003516311</v>
      </c>
      <c r="D1031" s="36">
        <v>960000003516311</v>
      </c>
      <c r="E1031" s="1">
        <f t="shared" si="16"/>
        <v>44986</v>
      </c>
      <c r="F1031" s="51">
        <v>44986.677627314799</v>
      </c>
      <c r="G1031" s="51">
        <v>44986.681030092601</v>
      </c>
      <c r="H1031" s="52">
        <v>3.3449074074069999E-3</v>
      </c>
      <c r="I1031">
        <v>16.263055801391602</v>
      </c>
      <c r="J1031">
        <v>8316.2977497311895</v>
      </c>
      <c r="K1031">
        <v>155.64992023032099</v>
      </c>
    </row>
    <row r="1032" spans="1:11" x14ac:dyDescent="0.25">
      <c r="A1032" t="s">
        <v>0</v>
      </c>
      <c r="B1032">
        <f>VLOOKUP(C1032,'[2]Ensaio 1'!$A$2:$F$28,6,FALSE)</f>
        <v>2</v>
      </c>
      <c r="C1032" s="36">
        <v>900248002084301</v>
      </c>
      <c r="D1032" s="36">
        <v>900248002084301</v>
      </c>
      <c r="E1032" s="1">
        <f t="shared" si="16"/>
        <v>44986</v>
      </c>
      <c r="F1032" s="51">
        <v>44986.756828703699</v>
      </c>
      <c r="G1032" s="51">
        <v>44986.758645833303</v>
      </c>
      <c r="H1032" s="52">
        <v>1.7939814814810001E-3</v>
      </c>
      <c r="I1032">
        <v>18.163888931274414</v>
      </c>
      <c r="J1032">
        <v>8938.5167671940108</v>
      </c>
      <c r="K1032">
        <v>286.54279387383599</v>
      </c>
    </row>
    <row r="1033" spans="1:11" x14ac:dyDescent="0.25">
      <c r="A1033" t="s">
        <v>0</v>
      </c>
      <c r="B1033">
        <f>VLOOKUP(C1033,'[2]Ensaio 1'!$A$2:$F$28,6,FALSE)</f>
        <v>2</v>
      </c>
      <c r="C1033" s="36">
        <v>900248002085907</v>
      </c>
      <c r="D1033" s="36">
        <v>900248002085907</v>
      </c>
      <c r="E1033" s="1">
        <f t="shared" si="16"/>
        <v>44986</v>
      </c>
      <c r="F1033" s="51">
        <v>44986.9049884259</v>
      </c>
      <c r="G1033" s="51">
        <v>44986.908356481501</v>
      </c>
      <c r="H1033" s="52">
        <v>3.3217592592590002E-3</v>
      </c>
      <c r="I1033">
        <v>21.719722747802734</v>
      </c>
      <c r="J1033">
        <v>10726.360768546299</v>
      </c>
      <c r="K1033">
        <v>240.18147612647601</v>
      </c>
    </row>
    <row r="1034" spans="1:11" x14ac:dyDescent="0.25">
      <c r="A1034" t="s">
        <v>0</v>
      </c>
      <c r="B1034">
        <f>VLOOKUP(C1034,'[2]Ensaio 1'!$A$2:$F$28,6,FALSE)</f>
        <v>2</v>
      </c>
      <c r="C1034" s="36">
        <v>960000003827747</v>
      </c>
      <c r="D1034" s="36">
        <v>960000003827747</v>
      </c>
      <c r="E1034" s="1">
        <f t="shared" si="16"/>
        <v>44986</v>
      </c>
      <c r="F1034" s="51">
        <v>44986.923009259299</v>
      </c>
      <c r="G1034" s="51">
        <v>44986.926620370403</v>
      </c>
      <c r="H1034" s="52">
        <v>3.5532407407409998E-3</v>
      </c>
      <c r="I1034">
        <v>22.1522216796875</v>
      </c>
      <c r="J1034">
        <v>9890.2563009299702</v>
      </c>
      <c r="K1034">
        <v>204.31012858063499</v>
      </c>
    </row>
    <row r="1035" spans="1:11" x14ac:dyDescent="0.25">
      <c r="A1035" t="s">
        <v>0</v>
      </c>
      <c r="B1035">
        <f>VLOOKUP(C1035,'[2]Ensaio 1'!$A$2:$F$28,6,FALSE)</f>
        <v>2</v>
      </c>
      <c r="C1035" s="36">
        <v>960000003688457</v>
      </c>
      <c r="D1035" s="36">
        <v>960000003688457</v>
      </c>
      <c r="E1035" s="1">
        <f t="shared" si="16"/>
        <v>44986</v>
      </c>
      <c r="F1035" s="51">
        <v>44986.927175925899</v>
      </c>
      <c r="G1035" s="51">
        <v>44986.930474537003</v>
      </c>
      <c r="H1035" s="52">
        <v>3.2523148148149998E-3</v>
      </c>
      <c r="I1035">
        <v>22.252222061157227</v>
      </c>
      <c r="J1035">
        <v>9589.9830667125098</v>
      </c>
      <c r="K1035">
        <v>234.63419789786599</v>
      </c>
    </row>
    <row r="1036" spans="1:11" x14ac:dyDescent="0.25">
      <c r="A1036" t="s">
        <v>0</v>
      </c>
      <c r="B1036">
        <f>VLOOKUP(C1036,'[2]Ensaio 1'!$A$2:$F$28,6,FALSE)</f>
        <v>2</v>
      </c>
      <c r="C1036" s="36">
        <v>960000003516311</v>
      </c>
      <c r="D1036" s="36">
        <v>960000003516311</v>
      </c>
      <c r="E1036" s="1">
        <f t="shared" si="16"/>
        <v>44986</v>
      </c>
      <c r="F1036" s="51">
        <v>44986.971400463</v>
      </c>
      <c r="G1036" s="51">
        <v>44986.974733796298</v>
      </c>
      <c r="H1036" s="52">
        <v>3.2291666666670001E-3</v>
      </c>
      <c r="I1036">
        <v>23.31361198425293</v>
      </c>
      <c r="J1036">
        <v>8379.8913801525996</v>
      </c>
      <c r="K1036">
        <v>114.396805574803</v>
      </c>
    </row>
    <row r="1037" spans="1:11" x14ac:dyDescent="0.25">
      <c r="A1037" t="s">
        <v>0</v>
      </c>
      <c r="B1037">
        <f>VLOOKUP(C1037,'[2]Ensaio 1'!$A$2:$F$28,6,FALSE)</f>
        <v>2</v>
      </c>
      <c r="C1037" s="36">
        <v>900248002084301</v>
      </c>
      <c r="D1037" s="36">
        <v>900248002084301</v>
      </c>
      <c r="E1037" s="1">
        <f t="shared" si="16"/>
        <v>44986</v>
      </c>
      <c r="F1037" s="51">
        <v>44986.988252314797</v>
      </c>
      <c r="G1037" s="51">
        <v>44986.990243055603</v>
      </c>
      <c r="H1037" s="52">
        <v>1.9675925925930001E-3</v>
      </c>
      <c r="I1037">
        <v>23.718055725097656</v>
      </c>
      <c r="J1037">
        <v>9834.2600451262806</v>
      </c>
      <c r="K1037">
        <v>247.89965628201901</v>
      </c>
    </row>
    <row r="1038" spans="1:11" x14ac:dyDescent="0.25">
      <c r="A1038" t="s">
        <v>0</v>
      </c>
      <c r="B1038">
        <f>VLOOKUP(C1038,'[2]Ensaio 1'!$A$2:$F$28,6,FALSE)</f>
        <v>2</v>
      </c>
      <c r="C1038" s="36">
        <v>960000003688457</v>
      </c>
      <c r="D1038" s="36">
        <v>960000003688457</v>
      </c>
      <c r="E1038" s="1">
        <f t="shared" si="16"/>
        <v>44987</v>
      </c>
      <c r="F1038" s="51">
        <v>44987.007222222201</v>
      </c>
      <c r="G1038" s="51">
        <v>44987.010625000003</v>
      </c>
      <c r="H1038" s="52">
        <v>3.333333333333E-3</v>
      </c>
      <c r="I1038">
        <v>0.17333333194255801</v>
      </c>
      <c r="J1038">
        <v>10484.398548261101</v>
      </c>
      <c r="K1038">
        <v>286.74940540610498</v>
      </c>
    </row>
    <row r="1039" spans="1:11" x14ac:dyDescent="0.25">
      <c r="A1039" t="s">
        <v>0</v>
      </c>
      <c r="B1039">
        <f>VLOOKUP(C1039,'[2]Ensaio 1'!$A$2:$F$28,6,FALSE)</f>
        <v>2</v>
      </c>
      <c r="C1039" s="36">
        <v>960000003827747</v>
      </c>
      <c r="D1039" s="36">
        <v>960000003827747</v>
      </c>
      <c r="E1039" s="1">
        <f t="shared" si="16"/>
        <v>44987</v>
      </c>
      <c r="F1039" s="51">
        <v>44987.0374884259</v>
      </c>
      <c r="G1039" s="51">
        <v>44987.041597222204</v>
      </c>
      <c r="H1039" s="52">
        <v>3.9467592592589999E-3</v>
      </c>
      <c r="I1039">
        <v>0.89972221851348899</v>
      </c>
      <c r="J1039">
        <v>9202.6611408020308</v>
      </c>
      <c r="K1039">
        <v>238.27905171223301</v>
      </c>
    </row>
    <row r="1040" spans="1:11" x14ac:dyDescent="0.25">
      <c r="A1040" t="s">
        <v>0</v>
      </c>
      <c r="B1040">
        <f>VLOOKUP(C1040,'[2]Ensaio 1'!$A$2:$F$28,6,FALSE)</f>
        <v>2</v>
      </c>
      <c r="C1040" s="36">
        <v>900248002084301</v>
      </c>
      <c r="D1040" s="36">
        <v>900248002084301</v>
      </c>
      <c r="E1040" s="1">
        <f t="shared" si="16"/>
        <v>44987</v>
      </c>
      <c r="F1040" s="51">
        <v>44987.070601851898</v>
      </c>
      <c r="G1040" s="51">
        <v>44987.073726851799</v>
      </c>
      <c r="H1040" s="52">
        <v>3.0671296296300001E-3</v>
      </c>
      <c r="I1040">
        <v>1.694444417953491</v>
      </c>
      <c r="J1040">
        <v>9980.9319886112098</v>
      </c>
      <c r="K1040">
        <v>255.57457260110601</v>
      </c>
    </row>
    <row r="1041" spans="1:11" x14ac:dyDescent="0.25">
      <c r="A1041" t="s">
        <v>0</v>
      </c>
      <c r="B1041">
        <f>VLOOKUP(C1041,'[2]Ensaio 1'!$A$2:$F$28,6,FALSE)</f>
        <v>2</v>
      </c>
      <c r="C1041" s="36">
        <v>960000003516311</v>
      </c>
      <c r="D1041" s="36">
        <v>960000003516311</v>
      </c>
      <c r="E1041" s="1">
        <f t="shared" si="16"/>
        <v>44987</v>
      </c>
      <c r="F1041" s="51">
        <v>44987.115185185197</v>
      </c>
      <c r="G1041" s="51">
        <v>44987.1187615741</v>
      </c>
      <c r="H1041" s="52">
        <v>3.506944444444E-3</v>
      </c>
      <c r="I1041">
        <v>2.7644443511962891</v>
      </c>
      <c r="J1041">
        <v>9295.9237162376303</v>
      </c>
      <c r="K1041">
        <v>159.352153237712</v>
      </c>
    </row>
    <row r="1042" spans="1:11" x14ac:dyDescent="0.25">
      <c r="A1042" t="s">
        <v>0</v>
      </c>
      <c r="B1042">
        <f>VLOOKUP(C1042,'[2]Ensaio 1'!$A$2:$F$28,6,FALSE)</f>
        <v>2</v>
      </c>
      <c r="C1042" s="36">
        <v>960000003827747</v>
      </c>
      <c r="D1042" s="36">
        <v>960000003827747</v>
      </c>
      <c r="E1042" s="1">
        <f t="shared" si="16"/>
        <v>44987</v>
      </c>
      <c r="F1042" s="51">
        <v>44987.2890162037</v>
      </c>
      <c r="G1042" s="51">
        <v>44987.294467592597</v>
      </c>
      <c r="H1042" s="52">
        <v>3.7499999999999999E-3</v>
      </c>
      <c r="I1042">
        <v>6.9363889694213867</v>
      </c>
      <c r="J1042">
        <v>8522.18834768534</v>
      </c>
      <c r="K1042">
        <v>147.33559693911599</v>
      </c>
    </row>
    <row r="1043" spans="1:11" x14ac:dyDescent="0.25">
      <c r="A1043" t="s">
        <v>0</v>
      </c>
      <c r="B1043">
        <f>VLOOKUP(C1043,'[2]Ensaio 1'!$A$2:$F$28,6,FALSE)</f>
        <v>2</v>
      </c>
      <c r="C1043" s="36">
        <v>900248002084301</v>
      </c>
      <c r="D1043" s="36">
        <v>900248002084301</v>
      </c>
      <c r="E1043" s="1">
        <f t="shared" si="16"/>
        <v>44987</v>
      </c>
      <c r="F1043" s="51">
        <v>44987.301400463002</v>
      </c>
      <c r="G1043" s="51">
        <v>44987.304664351897</v>
      </c>
      <c r="H1043" s="52">
        <v>2.9166666666669999E-3</v>
      </c>
      <c r="I1043">
        <v>7.2336111068725586</v>
      </c>
      <c r="J1043">
        <v>9643.7443550556909</v>
      </c>
      <c r="K1043">
        <v>252.558747180773</v>
      </c>
    </row>
    <row r="1044" spans="1:11" x14ac:dyDescent="0.25">
      <c r="A1044" t="s">
        <v>0</v>
      </c>
      <c r="B1044">
        <f>VLOOKUP(C1044,'[2]Ensaio 1'!$A$2:$F$28,6,FALSE)</f>
        <v>2</v>
      </c>
      <c r="C1044" s="36">
        <v>960000003516311</v>
      </c>
      <c r="D1044" s="36">
        <v>960000003516311</v>
      </c>
      <c r="E1044" s="1">
        <f t="shared" si="16"/>
        <v>44987</v>
      </c>
      <c r="F1044" s="51">
        <v>44987.304675925901</v>
      </c>
      <c r="G1044" s="51">
        <v>44987.306817129604</v>
      </c>
      <c r="H1044" s="52">
        <v>1.851851851852E-3</v>
      </c>
      <c r="I1044">
        <v>7.3122220039367676</v>
      </c>
      <c r="J1044">
        <v>6792.9426483729103</v>
      </c>
      <c r="K1044">
        <v>110.62208359604701</v>
      </c>
    </row>
    <row r="1045" spans="1:11" x14ac:dyDescent="0.25">
      <c r="A1045" t="s">
        <v>0</v>
      </c>
      <c r="B1045">
        <f>VLOOKUP(C1045,'[2]Ensaio 1'!$A$2:$F$28,6,FALSE)</f>
        <v>2</v>
      </c>
      <c r="C1045" s="36">
        <v>900248002085907</v>
      </c>
      <c r="D1045" s="36">
        <v>900248002085907</v>
      </c>
      <c r="E1045" s="1">
        <f t="shared" si="16"/>
        <v>44987</v>
      </c>
      <c r="F1045" s="51">
        <v>44987.366863425901</v>
      </c>
      <c r="G1045" s="51">
        <v>44987.370625000003</v>
      </c>
      <c r="H1045" s="52">
        <v>3.703703703704E-3</v>
      </c>
      <c r="I1045">
        <v>8.8047218322753906</v>
      </c>
      <c r="J1045">
        <v>8508.654373112</v>
      </c>
      <c r="K1045">
        <v>215.572658855009</v>
      </c>
    </row>
    <row r="1046" spans="1:11" x14ac:dyDescent="0.25">
      <c r="A1046" t="s">
        <v>0</v>
      </c>
      <c r="B1046">
        <f>VLOOKUP(C1046,'[2]Ensaio 1'!$A$2:$F$28,6,FALSE)</f>
        <v>2</v>
      </c>
      <c r="C1046" s="36">
        <v>960000003827747</v>
      </c>
      <c r="D1046" s="36">
        <v>960000003827747</v>
      </c>
      <c r="E1046" s="1">
        <f t="shared" si="16"/>
        <v>44987</v>
      </c>
      <c r="F1046" s="51">
        <v>44987.558148148099</v>
      </c>
      <c r="G1046" s="51">
        <v>44987.562662037002</v>
      </c>
      <c r="H1046" s="52">
        <v>4.0393518518519996E-3</v>
      </c>
      <c r="I1046">
        <v>13.39555549621582</v>
      </c>
      <c r="J1046">
        <v>8601.1601135739093</v>
      </c>
      <c r="K1046">
        <v>135.308746216076</v>
      </c>
    </row>
    <row r="1047" spans="1:11" x14ac:dyDescent="0.25">
      <c r="A1047" t="s">
        <v>0</v>
      </c>
      <c r="B1047">
        <f>VLOOKUP(C1047,'[2]Ensaio 1'!$A$2:$F$28,6,FALSE)</f>
        <v>2</v>
      </c>
      <c r="C1047" s="36">
        <v>900248002084301</v>
      </c>
      <c r="D1047" s="36">
        <v>900248002084301</v>
      </c>
      <c r="E1047" s="1">
        <f t="shared" si="16"/>
        <v>44987</v>
      </c>
      <c r="F1047" s="51">
        <v>44987.572071759299</v>
      </c>
      <c r="G1047" s="51">
        <v>44987.574120370402</v>
      </c>
      <c r="H1047" s="52">
        <v>1.9560185185190002E-3</v>
      </c>
      <c r="I1047">
        <v>13.729722023010254</v>
      </c>
      <c r="J1047">
        <v>7766.1947341968698</v>
      </c>
      <c r="K1047">
        <v>191.299604672442</v>
      </c>
    </row>
    <row r="1048" spans="1:11" x14ac:dyDescent="0.25">
      <c r="A1048" t="s">
        <v>0</v>
      </c>
      <c r="B1048">
        <f>VLOOKUP(C1048,'[2]Ensaio 1'!$A$2:$F$28,6,FALSE)</f>
        <v>2</v>
      </c>
      <c r="C1048" s="36">
        <v>960000003516311</v>
      </c>
      <c r="D1048" s="36">
        <v>960000003516311</v>
      </c>
      <c r="E1048" s="1">
        <f t="shared" si="16"/>
        <v>44987</v>
      </c>
      <c r="F1048" s="51">
        <v>44987.574872685203</v>
      </c>
      <c r="G1048" s="51">
        <v>44987.577905092599</v>
      </c>
      <c r="H1048" s="52">
        <v>2.9976851851850001E-3</v>
      </c>
      <c r="I1048">
        <v>13.796944618225098</v>
      </c>
      <c r="J1048">
        <v>8365.2347851822396</v>
      </c>
      <c r="K1048">
        <v>143.71141671302701</v>
      </c>
    </row>
    <row r="1049" spans="1:11" x14ac:dyDescent="0.25">
      <c r="A1049" t="s">
        <v>0</v>
      </c>
      <c r="B1049">
        <f>VLOOKUP(C1049,'[2]Ensaio 1'!$A$2:$F$28,6,FALSE)</f>
        <v>2</v>
      </c>
      <c r="C1049" s="36">
        <v>960000003688457</v>
      </c>
      <c r="D1049" s="36">
        <v>960000003688457</v>
      </c>
      <c r="E1049" s="1">
        <f t="shared" si="16"/>
        <v>44987</v>
      </c>
      <c r="F1049" s="51">
        <v>44987.579085648104</v>
      </c>
      <c r="G1049" s="51">
        <v>44987.582303240699</v>
      </c>
      <c r="H1049" s="52">
        <v>3.0787037037039999E-3</v>
      </c>
      <c r="I1049">
        <v>13.898056030273438</v>
      </c>
      <c r="J1049">
        <v>8352.6478305554901</v>
      </c>
      <c r="K1049">
        <v>149.74627346190201</v>
      </c>
    </row>
    <row r="1050" spans="1:11" x14ac:dyDescent="0.25">
      <c r="A1050" t="s">
        <v>0</v>
      </c>
      <c r="B1050">
        <f>VLOOKUP(C1050,'[2]Ensaio 1'!$A$2:$F$28,6,FALSE)</f>
        <v>2</v>
      </c>
      <c r="C1050" s="36">
        <v>900248002085907</v>
      </c>
      <c r="D1050" s="36">
        <v>900248002085907</v>
      </c>
      <c r="E1050" s="1">
        <f t="shared" si="16"/>
        <v>44987</v>
      </c>
      <c r="F1050" s="51">
        <v>44987.717905092599</v>
      </c>
      <c r="G1050" s="51">
        <v>44987.721678240698</v>
      </c>
      <c r="H1050" s="52">
        <v>3.703703703704E-3</v>
      </c>
      <c r="I1050">
        <v>17.22972297668457</v>
      </c>
      <c r="J1050">
        <v>10320.484904721199</v>
      </c>
      <c r="K1050">
        <v>205.21152645160001</v>
      </c>
    </row>
    <row r="1051" spans="1:11" x14ac:dyDescent="0.25">
      <c r="A1051" t="s">
        <v>0</v>
      </c>
      <c r="B1051">
        <f>VLOOKUP(C1051,'[2]Ensaio 1'!$A$2:$F$28,6,FALSE)</f>
        <v>2</v>
      </c>
      <c r="C1051" s="36">
        <v>960000003516311</v>
      </c>
      <c r="D1051" s="36">
        <v>960000003516311</v>
      </c>
      <c r="E1051" s="1">
        <f t="shared" si="16"/>
        <v>44987</v>
      </c>
      <c r="F1051" s="51">
        <v>44987.789861111101</v>
      </c>
      <c r="G1051" s="51">
        <v>44987.7921180556</v>
      </c>
      <c r="H1051" s="52">
        <v>2.233796296296E-3</v>
      </c>
      <c r="I1051">
        <v>18.956666946411133</v>
      </c>
      <c r="J1051">
        <v>6365.5146184432797</v>
      </c>
      <c r="K1051">
        <v>189.92343950153199</v>
      </c>
    </row>
    <row r="1052" spans="1:11" x14ac:dyDescent="0.25">
      <c r="A1052" t="s">
        <v>0</v>
      </c>
      <c r="B1052">
        <f>VLOOKUP(C1052,'[2]Ensaio 1'!$A$2:$F$28,6,FALSE)</f>
        <v>2</v>
      </c>
      <c r="C1052" s="36">
        <v>900248002084301</v>
      </c>
      <c r="D1052" s="36">
        <v>900248002084301</v>
      </c>
      <c r="E1052" s="1">
        <f t="shared" si="16"/>
        <v>44987</v>
      </c>
      <c r="F1052" s="51">
        <v>44987.793506944399</v>
      </c>
      <c r="G1052" s="51">
        <v>44987.797118055598</v>
      </c>
      <c r="H1052" s="52">
        <v>3.472222222222E-3</v>
      </c>
      <c r="I1052">
        <v>19.044166564941406</v>
      </c>
      <c r="J1052">
        <v>11185.503152977501</v>
      </c>
      <c r="K1052">
        <v>291.76825794233599</v>
      </c>
    </row>
    <row r="1053" spans="1:11" x14ac:dyDescent="0.25">
      <c r="A1053" t="s">
        <v>0</v>
      </c>
      <c r="B1053">
        <f>VLOOKUP(C1053,'[2]Ensaio 1'!$A$2:$F$28,6,FALSE)</f>
        <v>2</v>
      </c>
      <c r="C1053" s="36">
        <v>960000003688457</v>
      </c>
      <c r="D1053" s="36">
        <v>960000003688457</v>
      </c>
      <c r="E1053" s="1">
        <f t="shared" si="16"/>
        <v>44987</v>
      </c>
      <c r="F1053" s="51">
        <v>44987.798599537004</v>
      </c>
      <c r="G1053" s="51">
        <v>44987.801921296297</v>
      </c>
      <c r="H1053" s="52">
        <v>3.2523148148149998E-3</v>
      </c>
      <c r="I1053">
        <v>19.166389465332031</v>
      </c>
      <c r="J1053">
        <v>11761.0758130755</v>
      </c>
      <c r="K1053">
        <v>329.996583576425</v>
      </c>
    </row>
    <row r="1054" spans="1:11" x14ac:dyDescent="0.25">
      <c r="A1054" t="s">
        <v>0</v>
      </c>
      <c r="B1054">
        <f>VLOOKUP(C1054,'[2]Ensaio 1'!$A$2:$F$28,6,FALSE)</f>
        <v>2</v>
      </c>
      <c r="C1054" s="36">
        <v>960000003827747</v>
      </c>
      <c r="D1054" s="36">
        <v>960000003827747</v>
      </c>
      <c r="E1054" s="1">
        <f t="shared" si="16"/>
        <v>44987</v>
      </c>
      <c r="F1054" s="51">
        <v>44987.843321759297</v>
      </c>
      <c r="G1054" s="51">
        <v>44987.847465277802</v>
      </c>
      <c r="H1054" s="52">
        <v>3.9120370370370004E-3</v>
      </c>
      <c r="I1054">
        <v>20.239721298217773</v>
      </c>
      <c r="J1054">
        <v>9469.1140679542295</v>
      </c>
      <c r="K1054">
        <v>263.87818905958102</v>
      </c>
    </row>
    <row r="1055" spans="1:11" x14ac:dyDescent="0.25">
      <c r="A1055" t="s">
        <v>0</v>
      </c>
      <c r="B1055">
        <f>VLOOKUP(C1055,'[2]Ensaio 1'!$A$2:$F$28,6,FALSE)</f>
        <v>2</v>
      </c>
      <c r="C1055" s="36">
        <v>900248002085907</v>
      </c>
      <c r="D1055" s="36">
        <v>900248002085907</v>
      </c>
      <c r="E1055" s="1">
        <f t="shared" si="16"/>
        <v>44988</v>
      </c>
      <c r="F1055" s="51">
        <v>44988.016099537002</v>
      </c>
      <c r="G1055" s="51">
        <v>44988.019629629598</v>
      </c>
      <c r="H1055" s="52">
        <v>3.472222222222E-3</v>
      </c>
      <c r="I1055">
        <v>0.38638889789581299</v>
      </c>
      <c r="J1055">
        <v>10033.3757166572</v>
      </c>
      <c r="K1055">
        <v>215.40183281927901</v>
      </c>
    </row>
    <row r="1056" spans="1:11" x14ac:dyDescent="0.25">
      <c r="A1056" t="s">
        <v>0</v>
      </c>
      <c r="B1056">
        <f>VLOOKUP(C1056,'[2]Ensaio 1'!$A$2:$F$28,6,FALSE)</f>
        <v>2</v>
      </c>
      <c r="C1056" s="36">
        <v>900248002084301</v>
      </c>
      <c r="D1056" s="36">
        <v>900248002084301</v>
      </c>
      <c r="E1056" s="1">
        <f t="shared" si="16"/>
        <v>44988</v>
      </c>
      <c r="F1056" s="51">
        <v>44988.022083333301</v>
      </c>
      <c r="G1056" s="51">
        <v>44988.024884259299</v>
      </c>
      <c r="H1056" s="52">
        <v>2.7546296296299998E-3</v>
      </c>
      <c r="I1056">
        <v>0.52999997138977095</v>
      </c>
      <c r="J1056">
        <v>10735.310356362001</v>
      </c>
      <c r="K1056">
        <v>326.39626644642198</v>
      </c>
    </row>
    <row r="1057" spans="1:11" x14ac:dyDescent="0.25">
      <c r="A1057" t="s">
        <v>0</v>
      </c>
      <c r="B1057">
        <f>VLOOKUP(C1057,'[2]Ensaio 1'!$A$2:$F$28,6,FALSE)</f>
        <v>2</v>
      </c>
      <c r="C1057" s="36">
        <v>960000003688457</v>
      </c>
      <c r="D1057" s="36">
        <v>960000003688457</v>
      </c>
      <c r="E1057" s="1">
        <f t="shared" si="16"/>
        <v>44988</v>
      </c>
      <c r="F1057" s="51">
        <v>44988.036134259302</v>
      </c>
      <c r="G1057" s="51">
        <v>44988.039548611101</v>
      </c>
      <c r="H1057" s="52">
        <v>3.333333333333E-3</v>
      </c>
      <c r="I1057">
        <v>0.86722224950790405</v>
      </c>
      <c r="J1057">
        <v>8878.6473167595395</v>
      </c>
      <c r="K1057">
        <v>221.34253831680701</v>
      </c>
    </row>
    <row r="1058" spans="1:11" x14ac:dyDescent="0.25">
      <c r="A1058" t="s">
        <v>0</v>
      </c>
      <c r="B1058">
        <f>VLOOKUP(C1058,'[2]Ensaio 1'!$A$2:$F$28,6,FALSE)</f>
        <v>2</v>
      </c>
      <c r="C1058" s="36">
        <v>960000003516311</v>
      </c>
      <c r="D1058" s="36">
        <v>960000003516311</v>
      </c>
      <c r="E1058" s="1">
        <f t="shared" si="16"/>
        <v>44988</v>
      </c>
      <c r="F1058" s="51">
        <v>44988.050706018497</v>
      </c>
      <c r="G1058" s="51">
        <v>44988.053692129601</v>
      </c>
      <c r="H1058" s="52">
        <v>2.9282407407410001E-3</v>
      </c>
      <c r="I1058">
        <v>1.2169444561004641</v>
      </c>
      <c r="J1058">
        <v>9698.2906181738108</v>
      </c>
      <c r="K1058">
        <v>149.18695369163601</v>
      </c>
    </row>
    <row r="1059" spans="1:11" x14ac:dyDescent="0.25">
      <c r="A1059" t="s">
        <v>0</v>
      </c>
      <c r="B1059">
        <f>VLOOKUP(C1059,'[2]Ensaio 1'!$A$2:$F$28,6,FALSE)</f>
        <v>2</v>
      </c>
      <c r="C1059" s="36">
        <v>960000003827747</v>
      </c>
      <c r="D1059" s="36">
        <v>960000003827747</v>
      </c>
      <c r="E1059" s="1">
        <f t="shared" si="16"/>
        <v>44988</v>
      </c>
      <c r="F1059" s="51">
        <v>44988.146331018499</v>
      </c>
      <c r="G1059" s="51">
        <v>44988.149849537003</v>
      </c>
      <c r="H1059" s="52">
        <v>3.2986111111110001E-3</v>
      </c>
      <c r="I1059">
        <v>3.5119445323944092</v>
      </c>
      <c r="J1059">
        <v>8717.3333443237898</v>
      </c>
      <c r="K1059">
        <v>203.191111344082</v>
      </c>
    </row>
    <row r="1060" spans="1:11" x14ac:dyDescent="0.25">
      <c r="A1060" t="s">
        <v>0</v>
      </c>
      <c r="B1060">
        <f>VLOOKUP(C1060,'[2]Ensaio 1'!$A$2:$F$28,6,FALSE)</f>
        <v>2</v>
      </c>
      <c r="C1060" s="36">
        <v>960000003688457</v>
      </c>
      <c r="D1060" s="36">
        <v>960000003688457</v>
      </c>
      <c r="E1060" s="1">
        <f t="shared" si="16"/>
        <v>44988</v>
      </c>
      <c r="F1060" s="51">
        <v>44988.276689814797</v>
      </c>
      <c r="G1060" s="51">
        <v>44988.280671296299</v>
      </c>
      <c r="H1060" s="52">
        <v>3.3449074074069999E-3</v>
      </c>
      <c r="I1060">
        <v>6.6405553817749023</v>
      </c>
      <c r="J1060">
        <v>8163.0092109246998</v>
      </c>
      <c r="K1060">
        <v>127.425411073032</v>
      </c>
    </row>
    <row r="1061" spans="1:11" x14ac:dyDescent="0.25">
      <c r="A1061" t="s">
        <v>0</v>
      </c>
      <c r="B1061">
        <f>VLOOKUP(C1061,'[2]Ensaio 1'!$A$2:$F$28,6,FALSE)</f>
        <v>2</v>
      </c>
      <c r="C1061" s="36">
        <v>900248002084301</v>
      </c>
      <c r="D1061" s="36">
        <v>900248002084301</v>
      </c>
      <c r="E1061" s="1">
        <f t="shared" si="16"/>
        <v>44988</v>
      </c>
      <c r="F1061" s="51">
        <v>44988.282337962999</v>
      </c>
      <c r="G1061" s="51">
        <v>44988.285173611097</v>
      </c>
      <c r="H1061" s="52">
        <v>2.8009259259260001E-3</v>
      </c>
      <c r="I1061">
        <v>6.7761111259460449</v>
      </c>
      <c r="J1061">
        <v>8967.5150109337592</v>
      </c>
      <c r="K1061">
        <v>196.57923752692</v>
      </c>
    </row>
    <row r="1062" spans="1:11" x14ac:dyDescent="0.25">
      <c r="A1062" t="s">
        <v>0</v>
      </c>
      <c r="B1062">
        <f>VLOOKUP(C1062,'[2]Ensaio 1'!$A$2:$F$28,6,FALSE)</f>
        <v>2</v>
      </c>
      <c r="C1062" s="36">
        <v>960000003516311</v>
      </c>
      <c r="D1062" s="36">
        <v>960000003516311</v>
      </c>
      <c r="E1062" s="1">
        <f t="shared" si="16"/>
        <v>44988</v>
      </c>
      <c r="F1062" s="51">
        <v>44988.299976851798</v>
      </c>
      <c r="G1062" s="51">
        <v>44988.303414351903</v>
      </c>
      <c r="H1062" s="52">
        <v>3.3912037037040002E-3</v>
      </c>
      <c r="I1062">
        <v>7.1994442939758301</v>
      </c>
      <c r="J1062">
        <v>7607.5026148195902</v>
      </c>
      <c r="K1062">
        <v>91.327999110569394</v>
      </c>
    </row>
    <row r="1063" spans="1:11" x14ac:dyDescent="0.25">
      <c r="A1063" t="s">
        <v>0</v>
      </c>
      <c r="B1063">
        <f>VLOOKUP(C1063,'[2]Ensaio 1'!$A$2:$F$28,6,FALSE)</f>
        <v>2</v>
      </c>
      <c r="C1063" s="36">
        <v>900248002085907</v>
      </c>
      <c r="D1063" s="36">
        <v>900248002085907</v>
      </c>
      <c r="E1063" s="1">
        <f t="shared" si="16"/>
        <v>44988</v>
      </c>
      <c r="F1063" s="51">
        <v>44988.3047800926</v>
      </c>
      <c r="G1063" s="51">
        <v>44988.307511574101</v>
      </c>
      <c r="H1063" s="52">
        <v>2.673611111111E-3</v>
      </c>
      <c r="I1063">
        <v>7.3147220611572266</v>
      </c>
      <c r="J1063">
        <v>8604.7144390785597</v>
      </c>
      <c r="K1063">
        <v>158.29706484938799</v>
      </c>
    </row>
    <row r="1064" spans="1:11" x14ac:dyDescent="0.25">
      <c r="A1064" t="s">
        <v>0</v>
      </c>
      <c r="B1064">
        <f>VLOOKUP(C1064,'[2]Ensaio 1'!$A$2:$F$28,6,FALSE)</f>
        <v>2</v>
      </c>
      <c r="C1064" s="36">
        <v>960000003827747</v>
      </c>
      <c r="D1064" s="36">
        <v>960000003827747</v>
      </c>
      <c r="E1064" s="1">
        <f t="shared" si="16"/>
        <v>44988</v>
      </c>
      <c r="F1064" s="51">
        <v>44988.469895833303</v>
      </c>
      <c r="G1064" s="51">
        <v>44988.474571759303</v>
      </c>
      <c r="H1064" s="52">
        <v>4.3750000000000004E-3</v>
      </c>
      <c r="I1064">
        <v>11.277500152587891</v>
      </c>
      <c r="J1064">
        <v>8469.1152438682602</v>
      </c>
      <c r="K1064">
        <v>153.16087670810001</v>
      </c>
    </row>
    <row r="1065" spans="1:11" x14ac:dyDescent="0.25">
      <c r="A1065" t="s">
        <v>0</v>
      </c>
      <c r="B1065">
        <f>VLOOKUP(C1065,'[2]Ensaio 1'!$A$2:$F$28,6,FALSE)</f>
        <v>2</v>
      </c>
      <c r="C1065" s="36">
        <v>900248002085907</v>
      </c>
      <c r="D1065" s="36">
        <v>900248002085907</v>
      </c>
      <c r="E1065" s="1">
        <f t="shared" si="16"/>
        <v>44988</v>
      </c>
      <c r="F1065" s="51">
        <v>44988.522685185198</v>
      </c>
      <c r="G1065" s="51">
        <v>44988.525937500002</v>
      </c>
      <c r="H1065" s="52">
        <v>3.1828703703699998E-3</v>
      </c>
      <c r="I1065">
        <v>12.54444408416748</v>
      </c>
      <c r="J1065">
        <v>9207.7137199447097</v>
      </c>
      <c r="K1065">
        <v>255.51232211713</v>
      </c>
    </row>
    <row r="1066" spans="1:11" x14ac:dyDescent="0.25">
      <c r="A1066" t="s">
        <v>0</v>
      </c>
      <c r="B1066">
        <f>VLOOKUP(C1066,'[2]Ensaio 1'!$A$2:$F$28,6,FALSE)</f>
        <v>2</v>
      </c>
      <c r="C1066" s="36">
        <v>900248002084301</v>
      </c>
      <c r="D1066" s="36">
        <v>900248002084301</v>
      </c>
      <c r="E1066" s="1">
        <f t="shared" si="16"/>
        <v>44988</v>
      </c>
      <c r="F1066" s="51">
        <v>44988.532233796301</v>
      </c>
      <c r="G1066" s="51">
        <v>44988.535937499997</v>
      </c>
      <c r="H1066" s="52">
        <v>3.634259259259E-3</v>
      </c>
      <c r="I1066">
        <v>12.773611068725586</v>
      </c>
      <c r="J1066">
        <v>9131.97416885852</v>
      </c>
      <c r="K1066">
        <v>190.803397991976</v>
      </c>
    </row>
    <row r="1067" spans="1:11" x14ac:dyDescent="0.25">
      <c r="A1067" t="s">
        <v>0</v>
      </c>
      <c r="B1067">
        <f>VLOOKUP(C1067,'[2]Ensaio 1'!$A$2:$F$28,6,FALSE)</f>
        <v>2</v>
      </c>
      <c r="C1067" s="36">
        <v>960000003516311</v>
      </c>
      <c r="D1067" s="36">
        <v>960000003516311</v>
      </c>
      <c r="E1067" s="1">
        <f t="shared" si="16"/>
        <v>44988</v>
      </c>
      <c r="F1067" s="51">
        <v>44988.542060185202</v>
      </c>
      <c r="G1067" s="51">
        <v>44988.545104166697</v>
      </c>
      <c r="H1067" s="52">
        <v>2.9976851851850001E-3</v>
      </c>
      <c r="I1067">
        <v>13.009444236755371</v>
      </c>
      <c r="J1067">
        <v>8336.4503136025196</v>
      </c>
      <c r="K1067">
        <v>224.846680802728</v>
      </c>
    </row>
    <row r="1068" spans="1:11" x14ac:dyDescent="0.25">
      <c r="A1068" t="s">
        <v>0</v>
      </c>
      <c r="B1068">
        <f>VLOOKUP(C1068,'[2]Ensaio 1'!$A$2:$F$28,6,FALSE)</f>
        <v>2</v>
      </c>
      <c r="C1068" s="36">
        <v>960000003688457</v>
      </c>
      <c r="D1068" s="36">
        <v>960000003688457</v>
      </c>
      <c r="E1068" s="1">
        <f t="shared" si="16"/>
        <v>44988</v>
      </c>
      <c r="F1068" s="51">
        <v>44988.5554513889</v>
      </c>
      <c r="G1068" s="51">
        <v>44988.560185185197</v>
      </c>
      <c r="H1068" s="52">
        <v>3.877314814815E-3</v>
      </c>
      <c r="I1068">
        <v>13.330833435058594</v>
      </c>
      <c r="J1068">
        <v>8431.9434231941304</v>
      </c>
      <c r="K1068">
        <v>202.199658258639</v>
      </c>
    </row>
    <row r="1069" spans="1:11" x14ac:dyDescent="0.25">
      <c r="A1069" t="s">
        <v>0</v>
      </c>
      <c r="B1069">
        <f>VLOOKUP(C1069,'[2]Ensaio 1'!$A$2:$F$28,6,FALSE)</f>
        <v>2</v>
      </c>
      <c r="C1069" s="36">
        <v>900248002085907</v>
      </c>
      <c r="D1069" s="36">
        <v>900248002085907</v>
      </c>
      <c r="E1069" s="1">
        <f t="shared" si="16"/>
        <v>44988</v>
      </c>
      <c r="F1069" s="51">
        <v>44988.752048611103</v>
      </c>
      <c r="G1069" s="51">
        <v>44988.757824074099</v>
      </c>
      <c r="H1069" s="52">
        <v>5.6597222222220002E-3</v>
      </c>
      <c r="I1069">
        <v>18.049165725708008</v>
      </c>
      <c r="J1069">
        <v>10980.098732562899</v>
      </c>
      <c r="K1069">
        <v>273.86323284222402</v>
      </c>
    </row>
    <row r="1070" spans="1:11" x14ac:dyDescent="0.25">
      <c r="A1070" t="s">
        <v>0</v>
      </c>
      <c r="B1070">
        <f>VLOOKUP(C1070,'[2]Ensaio 1'!$A$2:$F$28,6,FALSE)</f>
        <v>2</v>
      </c>
      <c r="C1070" s="36">
        <v>960000003516311</v>
      </c>
      <c r="D1070" s="36">
        <v>960000003516311</v>
      </c>
      <c r="E1070" s="1">
        <f t="shared" si="16"/>
        <v>44988</v>
      </c>
      <c r="F1070" s="51">
        <v>44988.763912037</v>
      </c>
      <c r="G1070" s="51">
        <v>44988.770254629599</v>
      </c>
      <c r="H1070" s="52">
        <v>5.3472222222219999E-3</v>
      </c>
      <c r="I1070">
        <v>18.333889007568359</v>
      </c>
      <c r="J1070">
        <v>9641.9568127457405</v>
      </c>
      <c r="K1070">
        <v>160.96519717734799</v>
      </c>
    </row>
    <row r="1071" spans="1:11" x14ac:dyDescent="0.25">
      <c r="A1071" t="s">
        <v>0</v>
      </c>
      <c r="B1071">
        <f>VLOOKUP(C1071,'[2]Ensaio 1'!$A$2:$F$28,6,FALSE)</f>
        <v>2</v>
      </c>
      <c r="C1071" s="36">
        <v>960000003688457</v>
      </c>
      <c r="D1071" s="36">
        <v>960000003688457</v>
      </c>
      <c r="E1071" s="1">
        <f t="shared" si="16"/>
        <v>44988</v>
      </c>
      <c r="F1071" s="51">
        <v>44988.771631944401</v>
      </c>
      <c r="G1071" s="51">
        <v>44988.775381944397</v>
      </c>
      <c r="H1071" s="52">
        <v>3.402777777778E-3</v>
      </c>
      <c r="I1071">
        <v>18.519166946411133</v>
      </c>
      <c r="J1071">
        <v>11838.2071270119</v>
      </c>
      <c r="K1071">
        <v>326.94806093437302</v>
      </c>
    </row>
    <row r="1072" spans="1:11" x14ac:dyDescent="0.25">
      <c r="A1072" t="s">
        <v>0</v>
      </c>
      <c r="B1072">
        <f>VLOOKUP(C1072,'[2]Ensaio 1'!$A$2:$F$28,6,FALSE)</f>
        <v>2</v>
      </c>
      <c r="C1072" s="36">
        <v>960000003827747</v>
      </c>
      <c r="D1072" s="36">
        <v>960000003827747</v>
      </c>
      <c r="E1072" s="1">
        <f t="shared" si="16"/>
        <v>44988</v>
      </c>
      <c r="F1072" s="51">
        <v>44988.783125000002</v>
      </c>
      <c r="G1072" s="51">
        <v>44988.786585648202</v>
      </c>
      <c r="H1072" s="52">
        <v>3.275462962963E-3</v>
      </c>
      <c r="I1072">
        <v>18.795000076293945</v>
      </c>
      <c r="J1072">
        <v>11714.226810939999</v>
      </c>
      <c r="K1072">
        <v>263.38478281256698</v>
      </c>
    </row>
    <row r="1073" spans="1:11" x14ac:dyDescent="0.25">
      <c r="A1073" t="s">
        <v>0</v>
      </c>
      <c r="B1073">
        <f>VLOOKUP(C1073,'[2]Ensaio 1'!$A$2:$F$28,6,FALSE)</f>
        <v>2</v>
      </c>
      <c r="C1073" s="36">
        <v>960000003827747</v>
      </c>
      <c r="D1073" s="36">
        <v>960000003827747</v>
      </c>
      <c r="E1073" s="1">
        <f t="shared" si="16"/>
        <v>44988</v>
      </c>
      <c r="F1073" s="51">
        <v>44988.995706018497</v>
      </c>
      <c r="G1073" s="51">
        <v>44988.999120370398</v>
      </c>
      <c r="H1073" s="52">
        <v>3.1250000000000002E-3</v>
      </c>
      <c r="I1073">
        <v>23.896944046020508</v>
      </c>
      <c r="J1073">
        <v>8656.9693822245208</v>
      </c>
      <c r="K1073">
        <v>176.07355185219299</v>
      </c>
    </row>
    <row r="1074" spans="1:11" x14ac:dyDescent="0.25">
      <c r="A1074" t="s">
        <v>0</v>
      </c>
      <c r="B1074">
        <f>VLOOKUP(C1074,'[2]Ensaio 1'!$A$2:$F$28,6,FALSE)</f>
        <v>2</v>
      </c>
      <c r="C1074" s="36">
        <v>960000003688457</v>
      </c>
      <c r="D1074" s="36">
        <v>960000003688457</v>
      </c>
      <c r="E1074" s="1">
        <f t="shared" si="16"/>
        <v>44989</v>
      </c>
      <c r="F1074" s="51">
        <v>44989.038761574098</v>
      </c>
      <c r="G1074" s="51">
        <v>44989.042719907397</v>
      </c>
      <c r="H1074" s="52">
        <v>3.703703703704E-3</v>
      </c>
      <c r="I1074">
        <v>0.93027776479721103</v>
      </c>
      <c r="J1074">
        <v>10556.966308868399</v>
      </c>
      <c r="K1074">
        <v>193.86201762349199</v>
      </c>
    </row>
    <row r="1075" spans="1:11" x14ac:dyDescent="0.25">
      <c r="A1075" t="s">
        <v>0</v>
      </c>
      <c r="B1075">
        <f>VLOOKUP(C1075,'[2]Ensaio 1'!$A$2:$F$28,6,FALSE)</f>
        <v>2</v>
      </c>
      <c r="C1075" s="36">
        <v>900248002085907</v>
      </c>
      <c r="D1075" s="36">
        <v>900248002085907</v>
      </c>
      <c r="E1075" s="1">
        <f t="shared" si="16"/>
        <v>44989</v>
      </c>
      <c r="F1075" s="51">
        <v>44989.053958333301</v>
      </c>
      <c r="G1075" s="51">
        <v>44989.057337963</v>
      </c>
      <c r="H1075" s="52">
        <v>3.2986111111110001E-3</v>
      </c>
      <c r="I1075">
        <v>1.294999957084656</v>
      </c>
      <c r="J1075">
        <v>9210.6789721251898</v>
      </c>
      <c r="K1075">
        <v>172.01510737995301</v>
      </c>
    </row>
    <row r="1076" spans="1:11" x14ac:dyDescent="0.25">
      <c r="A1076" t="s">
        <v>0</v>
      </c>
      <c r="B1076">
        <f>VLOOKUP(C1076,'[2]Ensaio 1'!$A$2:$F$28,6,FALSE)</f>
        <v>2</v>
      </c>
      <c r="C1076" s="36">
        <v>960000003827747</v>
      </c>
      <c r="D1076" s="36">
        <v>960000003827747</v>
      </c>
      <c r="E1076" s="1">
        <f t="shared" si="16"/>
        <v>44989</v>
      </c>
      <c r="F1076" s="51">
        <v>44989.082048611097</v>
      </c>
      <c r="G1076" s="51">
        <v>44989.0858912037</v>
      </c>
      <c r="H1076" s="52">
        <v>3.541666666667E-3</v>
      </c>
      <c r="I1076">
        <v>1.96916663646698</v>
      </c>
      <c r="J1076">
        <v>8819.9272419185199</v>
      </c>
      <c r="K1076">
        <v>182.787705327889</v>
      </c>
    </row>
    <row r="1077" spans="1:11" x14ac:dyDescent="0.25">
      <c r="A1077" t="s">
        <v>0</v>
      </c>
      <c r="B1077">
        <f>VLOOKUP(C1077,'[2]Ensaio 1'!$A$2:$F$28,6,FALSE)</f>
        <v>2</v>
      </c>
      <c r="C1077" s="36">
        <v>960000003827747</v>
      </c>
      <c r="D1077" s="36">
        <v>960000003827747</v>
      </c>
      <c r="E1077" s="1">
        <f t="shared" si="16"/>
        <v>44989</v>
      </c>
      <c r="F1077" s="51">
        <v>44989.301747685196</v>
      </c>
      <c r="G1077" s="51">
        <v>44989.3050925926</v>
      </c>
      <c r="H1077" s="52">
        <v>3.1481481481479999E-3</v>
      </c>
      <c r="I1077">
        <v>7.2419443130493164</v>
      </c>
      <c r="J1077">
        <v>8485.5941887019508</v>
      </c>
      <c r="K1077">
        <v>150.85571595381899</v>
      </c>
    </row>
    <row r="1078" spans="1:11" x14ac:dyDescent="0.25">
      <c r="A1078" t="s">
        <v>0</v>
      </c>
      <c r="B1078">
        <f>VLOOKUP(C1078,'[2]Ensaio 1'!$A$2:$F$28,6,FALSE)</f>
        <v>2</v>
      </c>
      <c r="C1078" s="36">
        <v>960000003688457</v>
      </c>
      <c r="D1078" s="36">
        <v>960000003688457</v>
      </c>
      <c r="E1078" s="1">
        <f t="shared" si="16"/>
        <v>44989</v>
      </c>
      <c r="F1078" s="51">
        <v>44989.306736111103</v>
      </c>
      <c r="G1078" s="51">
        <v>44989.3120949074</v>
      </c>
      <c r="H1078" s="52">
        <v>3.1481481481479999E-3</v>
      </c>
      <c r="I1078">
        <v>7.3616666793823242</v>
      </c>
      <c r="J1078">
        <v>9227.0582012288996</v>
      </c>
      <c r="K1078">
        <v>186.42143221405499</v>
      </c>
    </row>
    <row r="1079" spans="1:11" x14ac:dyDescent="0.25">
      <c r="A1079" t="s">
        <v>0</v>
      </c>
      <c r="B1079">
        <f>VLOOKUP(C1079,'[2]Ensaio 1'!$A$2:$F$28,6,FALSE)</f>
        <v>2</v>
      </c>
      <c r="C1079" s="36">
        <v>900248002085907</v>
      </c>
      <c r="D1079" s="36">
        <v>900248002085907</v>
      </c>
      <c r="E1079" s="1">
        <f t="shared" si="16"/>
        <v>44989</v>
      </c>
      <c r="F1079" s="51">
        <v>44989.317418981504</v>
      </c>
      <c r="G1079" s="51">
        <v>44989.3207175926</v>
      </c>
      <c r="H1079" s="52">
        <v>3.171296296296E-3</v>
      </c>
      <c r="I1079">
        <v>7.6180553436279297</v>
      </c>
      <c r="J1079">
        <v>8111.0299447226698</v>
      </c>
      <c r="K1079">
        <v>171.30853183040699</v>
      </c>
    </row>
    <row r="1080" spans="1:11" x14ac:dyDescent="0.25">
      <c r="A1080" t="s">
        <v>0</v>
      </c>
      <c r="B1080">
        <f>VLOOKUP(C1080,'[2]Ensaio 1'!$A$2:$F$28,6,FALSE)</f>
        <v>2</v>
      </c>
      <c r="C1080" s="36">
        <v>960000003516311</v>
      </c>
      <c r="D1080" s="36">
        <v>960000003516311</v>
      </c>
      <c r="E1080" s="1">
        <f t="shared" si="16"/>
        <v>44989</v>
      </c>
      <c r="F1080" s="51">
        <v>44989.343020833301</v>
      </c>
      <c r="G1080" s="51">
        <v>44989.346342592602</v>
      </c>
      <c r="H1080" s="52">
        <v>3.2523148148149998E-3</v>
      </c>
      <c r="I1080">
        <v>8.2325000762939453</v>
      </c>
      <c r="J1080">
        <v>8369.8726639048109</v>
      </c>
      <c r="K1080">
        <v>180.59730513907201</v>
      </c>
    </row>
    <row r="1081" spans="1:11" x14ac:dyDescent="0.25">
      <c r="A1081" t="s">
        <v>0</v>
      </c>
      <c r="B1081">
        <f>VLOOKUP(C1081,'[2]Ensaio 1'!$A$2:$F$28,6,FALSE)</f>
        <v>2</v>
      </c>
      <c r="C1081" s="36">
        <v>900248002084301</v>
      </c>
      <c r="D1081" s="36">
        <v>900248002084301</v>
      </c>
      <c r="E1081" s="1">
        <f t="shared" si="16"/>
        <v>44989</v>
      </c>
      <c r="F1081" s="51">
        <v>44989.348518518498</v>
      </c>
      <c r="G1081" s="51">
        <v>44989.352002314801</v>
      </c>
      <c r="H1081" s="52">
        <v>3.4259259259260002E-3</v>
      </c>
      <c r="I1081">
        <v>8.3644447326660156</v>
      </c>
      <c r="J1081">
        <v>9529.9972055444505</v>
      </c>
      <c r="K1081">
        <v>242.27445423507601</v>
      </c>
    </row>
    <row r="1082" spans="1:11" x14ac:dyDescent="0.25">
      <c r="A1082" t="s">
        <v>0</v>
      </c>
      <c r="B1082">
        <f>VLOOKUP(C1082,'[2]Ensaio 1'!$A$2:$F$28,6,FALSE)</f>
        <v>2</v>
      </c>
      <c r="C1082" s="36">
        <v>960000003827747</v>
      </c>
      <c r="D1082" s="36">
        <v>960000003827747</v>
      </c>
      <c r="E1082" s="1">
        <f t="shared" si="16"/>
        <v>44989</v>
      </c>
      <c r="F1082" s="51">
        <v>44989.535914351902</v>
      </c>
      <c r="G1082" s="51">
        <v>44989.540347222202</v>
      </c>
      <c r="H1082" s="52">
        <v>4.3518518518519999E-3</v>
      </c>
      <c r="I1082">
        <v>12.861944198608398</v>
      </c>
      <c r="J1082">
        <v>8919.6944672735499</v>
      </c>
      <c r="K1082">
        <v>174.73415594561999</v>
      </c>
    </row>
    <row r="1083" spans="1:11" x14ac:dyDescent="0.25">
      <c r="A1083" t="s">
        <v>0</v>
      </c>
      <c r="B1083">
        <f>VLOOKUP(C1083,'[2]Ensaio 1'!$A$2:$F$28,6,FALSE)</f>
        <v>2</v>
      </c>
      <c r="C1083" s="36">
        <v>960000003688457</v>
      </c>
      <c r="D1083" s="36">
        <v>960000003688457</v>
      </c>
      <c r="E1083" s="1">
        <f t="shared" si="16"/>
        <v>44989</v>
      </c>
      <c r="F1083" s="51">
        <v>44989.540451388901</v>
      </c>
      <c r="G1083" s="51">
        <v>44989.544085648202</v>
      </c>
      <c r="H1083" s="52">
        <v>3.5532407407409998E-3</v>
      </c>
      <c r="I1083">
        <v>12.970833778381348</v>
      </c>
      <c r="J1083">
        <v>8496.2176904783501</v>
      </c>
      <c r="K1083">
        <v>215.89919755664599</v>
      </c>
    </row>
    <row r="1084" spans="1:11" x14ac:dyDescent="0.25">
      <c r="A1084" t="s">
        <v>0</v>
      </c>
      <c r="B1084">
        <f>VLOOKUP(C1084,'[2]Ensaio 1'!$A$2:$F$28,6,FALSE)</f>
        <v>2</v>
      </c>
      <c r="C1084" s="36">
        <v>900248002084301</v>
      </c>
      <c r="D1084" s="36">
        <v>900248002084301</v>
      </c>
      <c r="E1084" s="1">
        <f t="shared" si="16"/>
        <v>44989</v>
      </c>
      <c r="F1084" s="51">
        <v>44989.561967592599</v>
      </c>
      <c r="G1084" s="51">
        <v>44989.564918981501</v>
      </c>
      <c r="H1084" s="52">
        <v>2.905092592593E-3</v>
      </c>
      <c r="I1084">
        <v>13.487222671508789</v>
      </c>
      <c r="J1084">
        <v>10800.716206396401</v>
      </c>
      <c r="K1084">
        <v>252.18396235918701</v>
      </c>
    </row>
    <row r="1085" spans="1:11" x14ac:dyDescent="0.25">
      <c r="A1085" t="s">
        <v>0</v>
      </c>
      <c r="B1085">
        <f>VLOOKUP(C1085,'[2]Ensaio 1'!$A$2:$F$28,6,FALSE)</f>
        <v>2</v>
      </c>
      <c r="C1085" s="36">
        <v>960000003516311</v>
      </c>
      <c r="D1085" s="36">
        <v>960000003516311</v>
      </c>
      <c r="E1085" s="1">
        <f t="shared" si="16"/>
        <v>44989</v>
      </c>
      <c r="F1085" s="51">
        <v>44989.566145833298</v>
      </c>
      <c r="G1085" s="51">
        <v>44989.574259259301</v>
      </c>
      <c r="H1085" s="52">
        <v>7.9629629629629998E-3</v>
      </c>
      <c r="I1085">
        <v>13.587499618530273</v>
      </c>
      <c r="J1085">
        <v>8953.5625875647402</v>
      </c>
      <c r="K1085">
        <v>189.85726995048199</v>
      </c>
    </row>
    <row r="1086" spans="1:11" x14ac:dyDescent="0.25">
      <c r="A1086" t="s">
        <v>0</v>
      </c>
      <c r="B1086">
        <f>VLOOKUP(C1086,'[2]Ensaio 1'!$A$2:$F$28,6,FALSE)</f>
        <v>2</v>
      </c>
      <c r="C1086" s="36">
        <v>900248002085907</v>
      </c>
      <c r="D1086" s="36">
        <v>900248002085907</v>
      </c>
      <c r="E1086" s="1">
        <f t="shared" si="16"/>
        <v>44989</v>
      </c>
      <c r="F1086" s="51">
        <v>44989.592858796299</v>
      </c>
      <c r="G1086" s="51">
        <v>44989.595925925903</v>
      </c>
      <c r="H1086" s="52">
        <v>3.032407407407E-3</v>
      </c>
      <c r="I1086">
        <v>14.228610992431641</v>
      </c>
      <c r="J1086">
        <v>8821.3511585179094</v>
      </c>
      <c r="K1086">
        <v>170.130727730236</v>
      </c>
    </row>
    <row r="1087" spans="1:11" x14ac:dyDescent="0.25">
      <c r="A1087" t="s">
        <v>0</v>
      </c>
      <c r="B1087">
        <f>VLOOKUP(C1087,'[2]Ensaio 1'!$A$2:$F$28,6,FALSE)</f>
        <v>2</v>
      </c>
      <c r="C1087" s="36">
        <v>960000003827747</v>
      </c>
      <c r="D1087" s="36">
        <v>960000003827747</v>
      </c>
      <c r="E1087" s="1">
        <f t="shared" si="16"/>
        <v>44989</v>
      </c>
      <c r="F1087" s="51">
        <v>44989.765138888899</v>
      </c>
      <c r="G1087" s="51">
        <v>44989.769282407397</v>
      </c>
      <c r="H1087" s="52">
        <v>3.9236111111110002E-3</v>
      </c>
      <c r="I1087">
        <v>18.363332748413086</v>
      </c>
      <c r="J1087">
        <v>9901.4486862323793</v>
      </c>
      <c r="K1087">
        <v>215.397156943395</v>
      </c>
    </row>
    <row r="1088" spans="1:11" x14ac:dyDescent="0.25">
      <c r="A1088" t="s">
        <v>0</v>
      </c>
      <c r="B1088">
        <f>VLOOKUP(C1088,'[2]Ensaio 1'!$A$2:$F$28,6,FALSE)</f>
        <v>2</v>
      </c>
      <c r="C1088" s="36">
        <v>960000003688457</v>
      </c>
      <c r="D1088" s="36">
        <v>960000003688457</v>
      </c>
      <c r="E1088" s="1">
        <f t="shared" si="16"/>
        <v>44989</v>
      </c>
      <c r="F1088" s="51">
        <v>44989.770277777803</v>
      </c>
      <c r="G1088" s="51">
        <v>44989.772835648102</v>
      </c>
      <c r="H1088" s="52">
        <v>2.5115740740739999E-3</v>
      </c>
      <c r="I1088">
        <v>18.486665725708008</v>
      </c>
      <c r="J1088">
        <v>9946.7615797978997</v>
      </c>
      <c r="K1088">
        <v>222.359886421167</v>
      </c>
    </row>
    <row r="1089" spans="1:11" x14ac:dyDescent="0.25">
      <c r="A1089" t="s">
        <v>0</v>
      </c>
      <c r="B1089">
        <f>VLOOKUP(C1089,'[2]Ensaio 1'!$A$2:$F$28,6,FALSE)</f>
        <v>2</v>
      </c>
      <c r="C1089" s="36">
        <v>900248002084301</v>
      </c>
      <c r="D1089" s="36">
        <v>900248002084301</v>
      </c>
      <c r="E1089" s="1">
        <f t="shared" si="16"/>
        <v>44989</v>
      </c>
      <c r="F1089" s="51">
        <v>44989.775231481501</v>
      </c>
      <c r="G1089" s="51">
        <v>44989.778009259302</v>
      </c>
      <c r="H1089" s="52">
        <v>2.731481481481E-3</v>
      </c>
      <c r="I1089">
        <v>18.605556488037109</v>
      </c>
      <c r="J1089">
        <v>11947.872117520699</v>
      </c>
      <c r="K1089">
        <v>313.52764055893698</v>
      </c>
    </row>
    <row r="1090" spans="1:11" x14ac:dyDescent="0.25">
      <c r="A1090" t="s">
        <v>0</v>
      </c>
      <c r="B1090">
        <f>VLOOKUP(C1090,'[2]Ensaio 1'!$A$2:$F$28,6,FALSE)</f>
        <v>2</v>
      </c>
      <c r="C1090" s="36">
        <v>960000003516311</v>
      </c>
      <c r="D1090" s="36">
        <v>960000003516311</v>
      </c>
      <c r="E1090" s="1">
        <f t="shared" ref="E1090:E1153" si="17">ROUNDDOWN(LEFT(F1090,10),0)</f>
        <v>44989</v>
      </c>
      <c r="F1090" s="51">
        <v>44989.781076388899</v>
      </c>
      <c r="G1090" s="51">
        <v>44989.783842592602</v>
      </c>
      <c r="H1090" s="52">
        <v>2.731481481481E-3</v>
      </c>
      <c r="I1090">
        <v>18.745832443237305</v>
      </c>
      <c r="J1090">
        <v>9994.8195087005606</v>
      </c>
      <c r="K1090">
        <v>139.90068300520099</v>
      </c>
    </row>
    <row r="1091" spans="1:11" x14ac:dyDescent="0.25">
      <c r="A1091" t="s">
        <v>0</v>
      </c>
      <c r="B1091">
        <f>VLOOKUP(C1091,'[2]Ensaio 1'!$A$2:$F$28,6,FALSE)</f>
        <v>2</v>
      </c>
      <c r="C1091" s="36">
        <v>900248002085907</v>
      </c>
      <c r="D1091" s="36">
        <v>900248002085907</v>
      </c>
      <c r="E1091" s="1">
        <f t="shared" si="17"/>
        <v>44989</v>
      </c>
      <c r="F1091" s="51">
        <v>44989.941296296303</v>
      </c>
      <c r="G1091" s="51">
        <v>44989.944629629601</v>
      </c>
      <c r="H1091" s="52">
        <v>3.275462962963E-3</v>
      </c>
      <c r="I1091">
        <v>22.591110229492188</v>
      </c>
      <c r="J1091">
        <v>10206.722470134</v>
      </c>
      <c r="K1091">
        <v>275.58818171250601</v>
      </c>
    </row>
    <row r="1092" spans="1:11" x14ac:dyDescent="0.25">
      <c r="A1092" t="s">
        <v>0</v>
      </c>
      <c r="B1092">
        <f>VLOOKUP(C1092,'[2]Ensaio 1'!$A$2:$F$28,6,FALSE)</f>
        <v>2</v>
      </c>
      <c r="C1092" s="36">
        <v>960000003827747</v>
      </c>
      <c r="D1092" s="36">
        <v>960000003827747</v>
      </c>
      <c r="E1092" s="1">
        <f t="shared" si="17"/>
        <v>44990</v>
      </c>
      <c r="F1092" s="51">
        <v>44990.000821759299</v>
      </c>
      <c r="G1092" s="51">
        <v>44990.004374999997</v>
      </c>
      <c r="H1092" s="52">
        <v>3.4490740740739999E-3</v>
      </c>
      <c r="I1092">
        <v>1.9722221419215001E-2</v>
      </c>
      <c r="J1092">
        <v>9763.7048966556395</v>
      </c>
      <c r="K1092">
        <v>213.16526239587699</v>
      </c>
    </row>
    <row r="1093" spans="1:11" x14ac:dyDescent="0.25">
      <c r="A1093" t="s">
        <v>0</v>
      </c>
      <c r="B1093">
        <f>VLOOKUP(C1093,'[2]Ensaio 1'!$A$2:$F$28,6,FALSE)</f>
        <v>2</v>
      </c>
      <c r="C1093" s="36">
        <v>900248002084301</v>
      </c>
      <c r="D1093" s="36">
        <v>900248002084301</v>
      </c>
      <c r="E1093" s="1">
        <f t="shared" si="17"/>
        <v>44990</v>
      </c>
      <c r="F1093" s="51">
        <v>44990.039571759298</v>
      </c>
      <c r="G1093" s="51">
        <v>44990.042314814797</v>
      </c>
      <c r="H1093" s="52">
        <v>2.6967592592590001E-3</v>
      </c>
      <c r="I1093">
        <v>0.94972223043441795</v>
      </c>
      <c r="J1093">
        <v>11389.465683653199</v>
      </c>
      <c r="K1093">
        <v>286.71664286204901</v>
      </c>
    </row>
    <row r="1094" spans="1:11" x14ac:dyDescent="0.25">
      <c r="A1094" t="s">
        <v>0</v>
      </c>
      <c r="B1094">
        <f>VLOOKUP(C1094,'[2]Ensaio 1'!$A$2:$F$28,6,FALSE)</f>
        <v>2</v>
      </c>
      <c r="C1094" s="36">
        <v>960000003688457</v>
      </c>
      <c r="D1094" s="36">
        <v>960000003688457</v>
      </c>
      <c r="E1094" s="1">
        <f t="shared" si="17"/>
        <v>44990</v>
      </c>
      <c r="F1094" s="51">
        <v>44990.048194444404</v>
      </c>
      <c r="G1094" s="51">
        <v>44990.051249999997</v>
      </c>
      <c r="H1094" s="52">
        <v>2.9861111111109998E-3</v>
      </c>
      <c r="I1094">
        <v>1.15666663646698</v>
      </c>
      <c r="J1094">
        <v>9191.2506870014404</v>
      </c>
      <c r="K1094">
        <v>315.366725977101</v>
      </c>
    </row>
    <row r="1095" spans="1:11" x14ac:dyDescent="0.25">
      <c r="A1095" t="s">
        <v>0</v>
      </c>
      <c r="B1095">
        <f>VLOOKUP(C1095,'[2]Ensaio 1'!$A$2:$F$28,6,FALSE)</f>
        <v>2</v>
      </c>
      <c r="C1095" s="36">
        <v>960000003516311</v>
      </c>
      <c r="D1095" s="36">
        <v>960000003516311</v>
      </c>
      <c r="E1095" s="1">
        <f t="shared" si="17"/>
        <v>44990</v>
      </c>
      <c r="F1095" s="51">
        <v>44990.059004629598</v>
      </c>
      <c r="G1095" s="51">
        <v>44990.062025462998</v>
      </c>
      <c r="H1095" s="52">
        <v>2.974537037037E-3</v>
      </c>
      <c r="I1095">
        <v>1.41611111164093</v>
      </c>
      <c r="J1095">
        <v>8255.4231441319898</v>
      </c>
      <c r="K1095">
        <v>72.513284190176293</v>
      </c>
    </row>
    <row r="1096" spans="1:11" x14ac:dyDescent="0.25">
      <c r="A1096" t="s">
        <v>0</v>
      </c>
      <c r="B1096">
        <f>VLOOKUP(C1096,'[2]Ensaio 1'!$A$2:$F$28,6,FALSE)</f>
        <v>2</v>
      </c>
      <c r="C1096" s="36">
        <v>960000003688457</v>
      </c>
      <c r="D1096" s="36">
        <v>960000003688457</v>
      </c>
      <c r="E1096" s="1">
        <f t="shared" si="17"/>
        <v>44990</v>
      </c>
      <c r="F1096" s="51">
        <v>44990.262581018498</v>
      </c>
      <c r="G1096" s="51">
        <v>44990.267569444397</v>
      </c>
      <c r="H1096" s="52">
        <v>4.0162037037039999E-3</v>
      </c>
      <c r="I1096">
        <v>6.3019442558288574</v>
      </c>
      <c r="J1096">
        <v>8205.1026817342299</v>
      </c>
      <c r="K1096">
        <v>224.849316969315</v>
      </c>
    </row>
    <row r="1097" spans="1:11" x14ac:dyDescent="0.25">
      <c r="A1097" t="s">
        <v>0</v>
      </c>
      <c r="B1097">
        <f>VLOOKUP(C1097,'[2]Ensaio 1'!$A$2:$F$28,6,FALSE)</f>
        <v>2</v>
      </c>
      <c r="C1097" s="36">
        <v>960000003516311</v>
      </c>
      <c r="D1097" s="36">
        <v>960000003516311</v>
      </c>
      <c r="E1097" s="1">
        <f t="shared" si="17"/>
        <v>44990</v>
      </c>
      <c r="F1097" s="51">
        <v>44990.2816087963</v>
      </c>
      <c r="G1097" s="51">
        <v>44990.285173611097</v>
      </c>
      <c r="H1097" s="52">
        <v>3.402777777778E-3</v>
      </c>
      <c r="I1097">
        <v>6.7586112022399902</v>
      </c>
      <c r="J1097">
        <v>8846.1248326864606</v>
      </c>
      <c r="K1097">
        <v>120.283947189342</v>
      </c>
    </row>
    <row r="1098" spans="1:11" x14ac:dyDescent="0.25">
      <c r="A1098" t="s">
        <v>0</v>
      </c>
      <c r="B1098">
        <f>VLOOKUP(C1098,'[2]Ensaio 1'!$A$2:$F$28,6,FALSE)</f>
        <v>2</v>
      </c>
      <c r="C1098" s="36">
        <v>900248002085907</v>
      </c>
      <c r="D1098" s="36">
        <v>900248002085907</v>
      </c>
      <c r="E1098" s="1">
        <f t="shared" si="17"/>
        <v>44990</v>
      </c>
      <c r="F1098" s="51">
        <v>44990.287002314799</v>
      </c>
      <c r="G1098" s="51">
        <v>44990.2899652778</v>
      </c>
      <c r="H1098" s="52">
        <v>2.9166666666669999E-3</v>
      </c>
      <c r="I1098">
        <v>6.8880553245544434</v>
      </c>
      <c r="J1098">
        <v>8198.8442567951697</v>
      </c>
      <c r="K1098">
        <v>226.70570789812101</v>
      </c>
    </row>
    <row r="1099" spans="1:11" x14ac:dyDescent="0.25">
      <c r="A1099" t="s">
        <v>0</v>
      </c>
      <c r="B1099">
        <f>VLOOKUP(C1099,'[2]Ensaio 1'!$A$2:$F$28,6,FALSE)</f>
        <v>2</v>
      </c>
      <c r="C1099" s="36">
        <v>900248002084301</v>
      </c>
      <c r="D1099" s="36">
        <v>900248002084301</v>
      </c>
      <c r="E1099" s="1">
        <f t="shared" si="17"/>
        <v>44990</v>
      </c>
      <c r="F1099" s="51">
        <v>44990.2903703704</v>
      </c>
      <c r="G1099" s="51">
        <v>44990.293275463002</v>
      </c>
      <c r="H1099" s="52">
        <v>2.8472222222219999E-3</v>
      </c>
      <c r="I1099">
        <v>6.9688887596130371</v>
      </c>
      <c r="J1099">
        <v>9847.2098878787292</v>
      </c>
      <c r="K1099">
        <v>205.817218539142</v>
      </c>
    </row>
    <row r="1100" spans="1:11" x14ac:dyDescent="0.25">
      <c r="A1100" t="s">
        <v>0</v>
      </c>
      <c r="B1100">
        <f>VLOOKUP(C1100,'[2]Ensaio 1'!$A$2:$F$28,6,FALSE)</f>
        <v>2</v>
      </c>
      <c r="C1100" s="36">
        <v>960000003827747</v>
      </c>
      <c r="D1100" s="36">
        <v>960000003827747</v>
      </c>
      <c r="E1100" s="1">
        <f t="shared" si="17"/>
        <v>44990</v>
      </c>
      <c r="F1100" s="51">
        <v>44990.310266203698</v>
      </c>
      <c r="G1100" s="51">
        <v>44990.313321759299</v>
      </c>
      <c r="H1100" s="52">
        <v>2.9976851851850001E-3</v>
      </c>
      <c r="I1100">
        <v>7.4463887214660636</v>
      </c>
      <c r="J1100">
        <v>8688.1545929869808</v>
      </c>
      <c r="K1100">
        <v>149.24594521480401</v>
      </c>
    </row>
    <row r="1101" spans="1:11" x14ac:dyDescent="0.25">
      <c r="A1101" t="s">
        <v>0</v>
      </c>
      <c r="B1101">
        <f>VLOOKUP(C1101,'[2]Ensaio 1'!$A$2:$F$28,6,FALSE)</f>
        <v>2</v>
      </c>
      <c r="C1101" s="36">
        <v>900248002084301</v>
      </c>
      <c r="D1101" s="36">
        <v>900248002084301</v>
      </c>
      <c r="E1101" s="1">
        <f t="shared" si="17"/>
        <v>44990</v>
      </c>
      <c r="F1101" s="51">
        <v>44990.514120370397</v>
      </c>
      <c r="G1101" s="51">
        <v>44990.517025462999</v>
      </c>
      <c r="H1101" s="52">
        <v>2.8587962962960001E-3</v>
      </c>
      <c r="I1101">
        <v>12.338889122009277</v>
      </c>
      <c r="J1101">
        <v>10918.4679813604</v>
      </c>
      <c r="K1101">
        <v>291.19351339234601</v>
      </c>
    </row>
    <row r="1102" spans="1:11" x14ac:dyDescent="0.25">
      <c r="A1102" t="s">
        <v>0</v>
      </c>
      <c r="B1102">
        <f>VLOOKUP(C1102,'[2]Ensaio 1'!$A$2:$F$28,6,FALSE)</f>
        <v>2</v>
      </c>
      <c r="C1102" s="36">
        <v>900248002085907</v>
      </c>
      <c r="D1102" s="36">
        <v>900248002085907</v>
      </c>
      <c r="E1102" s="1">
        <f t="shared" si="17"/>
        <v>44990</v>
      </c>
      <c r="F1102" s="51">
        <v>44990.549826388902</v>
      </c>
      <c r="G1102" s="51">
        <v>44990.553148148101</v>
      </c>
      <c r="H1102" s="52">
        <v>3.2175925925929999E-3</v>
      </c>
      <c r="I1102">
        <v>13.195833206176758</v>
      </c>
      <c r="J1102">
        <v>9405.6071457256094</v>
      </c>
      <c r="K1102">
        <v>246.41663467084101</v>
      </c>
    </row>
    <row r="1103" spans="1:11" x14ac:dyDescent="0.25">
      <c r="A1103" t="s">
        <v>0</v>
      </c>
      <c r="B1103">
        <f>VLOOKUP(C1103,'[2]Ensaio 1'!$A$2:$F$28,6,FALSE)</f>
        <v>2</v>
      </c>
      <c r="C1103" s="36">
        <v>960000003827747</v>
      </c>
      <c r="D1103" s="36">
        <v>960000003827747</v>
      </c>
      <c r="E1103" s="1">
        <f t="shared" si="17"/>
        <v>44990</v>
      </c>
      <c r="F1103" s="51">
        <v>44990.587789351899</v>
      </c>
      <c r="G1103" s="51">
        <v>44990.591273148202</v>
      </c>
      <c r="H1103" s="52">
        <v>3.3680555555560001E-3</v>
      </c>
      <c r="I1103">
        <v>14.10694408416748</v>
      </c>
      <c r="J1103">
        <v>9104.4778319797897</v>
      </c>
      <c r="K1103">
        <v>168.397001898669</v>
      </c>
    </row>
    <row r="1104" spans="1:11" x14ac:dyDescent="0.25">
      <c r="A1104" t="s">
        <v>0</v>
      </c>
      <c r="B1104">
        <f>VLOOKUP(C1104,'[2]Ensaio 1'!$A$2:$F$28,6,FALSE)</f>
        <v>2</v>
      </c>
      <c r="C1104" s="36">
        <v>960000003516311</v>
      </c>
      <c r="D1104" s="36">
        <v>960000003516311</v>
      </c>
      <c r="E1104" s="1">
        <f t="shared" si="17"/>
        <v>44990</v>
      </c>
      <c r="F1104" s="51">
        <v>44990.598402777803</v>
      </c>
      <c r="G1104" s="51">
        <v>44990.601805555598</v>
      </c>
      <c r="H1104" s="52">
        <v>3.2986111111110001E-3</v>
      </c>
      <c r="I1104">
        <v>14.361666679382324</v>
      </c>
      <c r="J1104">
        <v>8302.7071134702892</v>
      </c>
      <c r="K1104">
        <v>129.87480972914901</v>
      </c>
    </row>
    <row r="1105" spans="1:11" x14ac:dyDescent="0.25">
      <c r="A1105" t="s">
        <v>0</v>
      </c>
      <c r="B1105">
        <f>VLOOKUP(C1105,'[2]Ensaio 1'!$A$2:$F$28,6,FALSE)</f>
        <v>2</v>
      </c>
      <c r="C1105" s="36">
        <v>960000003688457</v>
      </c>
      <c r="D1105" s="36">
        <v>960000003688457</v>
      </c>
      <c r="E1105" s="1">
        <f t="shared" si="17"/>
        <v>44990</v>
      </c>
      <c r="F1105" s="51">
        <v>44990.602384259299</v>
      </c>
      <c r="G1105" s="51">
        <v>44990.605902777803</v>
      </c>
      <c r="H1105" s="52">
        <v>3.4375E-3</v>
      </c>
      <c r="I1105">
        <v>14.457221984863281</v>
      </c>
      <c r="J1105">
        <v>9139.1031551937704</v>
      </c>
      <c r="K1105">
        <v>242.31705965462501</v>
      </c>
    </row>
    <row r="1106" spans="1:11" x14ac:dyDescent="0.25">
      <c r="A1106" t="s">
        <v>0</v>
      </c>
      <c r="B1106">
        <f>VLOOKUP(C1106,'[2]Ensaio 1'!$A$2:$F$28,6,FALSE)</f>
        <v>2</v>
      </c>
      <c r="C1106" s="36">
        <v>900248002085907</v>
      </c>
      <c r="D1106" s="36">
        <v>900248002085907</v>
      </c>
      <c r="E1106" s="1">
        <f t="shared" si="17"/>
        <v>44990</v>
      </c>
      <c r="F1106" s="51">
        <v>44990.784502314797</v>
      </c>
      <c r="G1106" s="51">
        <v>44990.7877546296</v>
      </c>
      <c r="H1106" s="52">
        <v>3.1944444444440001E-3</v>
      </c>
      <c r="I1106">
        <v>18.828056335449219</v>
      </c>
      <c r="J1106">
        <v>11857.562104496699</v>
      </c>
      <c r="K1106">
        <v>284.457620083248</v>
      </c>
    </row>
    <row r="1107" spans="1:11" x14ac:dyDescent="0.25">
      <c r="A1107" t="s">
        <v>0</v>
      </c>
      <c r="B1107">
        <f>VLOOKUP(C1107,'[2]Ensaio 1'!$A$2:$F$28,6,FALSE)</f>
        <v>2</v>
      </c>
      <c r="C1107" s="36">
        <v>900248002084301</v>
      </c>
      <c r="D1107" s="36">
        <v>900248002084301</v>
      </c>
      <c r="E1107" s="1">
        <f t="shared" si="17"/>
        <v>44990</v>
      </c>
      <c r="F1107" s="51">
        <v>44990.795023148101</v>
      </c>
      <c r="G1107" s="51">
        <v>44990.798692129603</v>
      </c>
      <c r="H1107" s="52">
        <v>3.5995370370370001E-3</v>
      </c>
      <c r="I1107">
        <v>19.080554962158203</v>
      </c>
      <c r="J1107">
        <v>11506.160552777201</v>
      </c>
      <c r="K1107">
        <v>268.83975150630499</v>
      </c>
    </row>
    <row r="1108" spans="1:11" x14ac:dyDescent="0.25">
      <c r="A1108" t="s">
        <v>0</v>
      </c>
      <c r="B1108">
        <f>VLOOKUP(C1108,'[2]Ensaio 1'!$A$2:$F$28,6,FALSE)</f>
        <v>2</v>
      </c>
      <c r="C1108" s="36">
        <v>960000003827747</v>
      </c>
      <c r="D1108" s="36">
        <v>960000003827747</v>
      </c>
      <c r="E1108" s="1">
        <f t="shared" si="17"/>
        <v>44990</v>
      </c>
      <c r="F1108" s="51">
        <v>44990.8218865741</v>
      </c>
      <c r="G1108" s="51">
        <v>44990.825810185197</v>
      </c>
      <c r="H1108" s="52">
        <v>3.8541666666669998E-3</v>
      </c>
      <c r="I1108">
        <v>19.725276947021484</v>
      </c>
      <c r="J1108">
        <v>10480.8711690619</v>
      </c>
      <c r="K1108">
        <v>269.39825797744999</v>
      </c>
    </row>
    <row r="1109" spans="1:11" x14ac:dyDescent="0.25">
      <c r="A1109" t="s">
        <v>0</v>
      </c>
      <c r="B1109">
        <f>VLOOKUP(C1109,'[2]Ensaio 1'!$A$2:$F$28,6,FALSE)</f>
        <v>2</v>
      </c>
      <c r="C1109" s="36">
        <v>960000003516311</v>
      </c>
      <c r="D1109" s="36">
        <v>960000003516311</v>
      </c>
      <c r="E1109" s="1">
        <f t="shared" si="17"/>
        <v>44990</v>
      </c>
      <c r="F1109" s="51">
        <v>44990.827638888899</v>
      </c>
      <c r="G1109" s="51">
        <v>44990.830520833297</v>
      </c>
      <c r="H1109" s="52">
        <v>2.835648148148E-3</v>
      </c>
      <c r="I1109">
        <v>19.863332748413086</v>
      </c>
      <c r="J1109">
        <v>9142.5626541674792</v>
      </c>
      <c r="K1109">
        <v>188.04460530961299</v>
      </c>
    </row>
    <row r="1110" spans="1:11" x14ac:dyDescent="0.25">
      <c r="A1110" t="s">
        <v>0</v>
      </c>
      <c r="B1110">
        <f>VLOOKUP(C1110,'[2]Ensaio 1'!$A$2:$F$28,6,FALSE)</f>
        <v>2</v>
      </c>
      <c r="C1110" s="36">
        <v>960000003688457</v>
      </c>
      <c r="D1110" s="36">
        <v>960000003688457</v>
      </c>
      <c r="E1110" s="1">
        <f t="shared" si="17"/>
        <v>44990</v>
      </c>
      <c r="F1110" s="51">
        <v>44990.952824074098</v>
      </c>
      <c r="G1110" s="51">
        <v>44990.956331018497</v>
      </c>
      <c r="H1110" s="52">
        <v>3.2638888888890001E-3</v>
      </c>
      <c r="I1110">
        <v>22.867776870727539</v>
      </c>
      <c r="J1110">
        <v>8745.9039559805806</v>
      </c>
      <c r="K1110">
        <v>214.81207867656499</v>
      </c>
    </row>
    <row r="1111" spans="1:11" x14ac:dyDescent="0.25">
      <c r="A1111" t="s">
        <v>0</v>
      </c>
      <c r="B1111">
        <f>VLOOKUP(C1111,'[2]Ensaio 1'!$A$2:$F$28,6,FALSE)</f>
        <v>2</v>
      </c>
      <c r="C1111" s="36">
        <v>960000003827747</v>
      </c>
      <c r="D1111" s="36">
        <v>960000003827747</v>
      </c>
      <c r="E1111" s="1">
        <f t="shared" si="17"/>
        <v>44991</v>
      </c>
      <c r="F1111" s="51">
        <v>44991.003993055601</v>
      </c>
      <c r="G1111" s="51">
        <v>44991.007974537002</v>
      </c>
      <c r="H1111" s="52">
        <v>3.0439814814809999E-3</v>
      </c>
      <c r="I1111">
        <v>9.5833331346511993E-2</v>
      </c>
      <c r="J1111">
        <v>9951.4584364612601</v>
      </c>
      <c r="K1111">
        <v>162.637593753804</v>
      </c>
    </row>
    <row r="1112" spans="1:11" x14ac:dyDescent="0.25">
      <c r="A1112" t="s">
        <v>0</v>
      </c>
      <c r="B1112">
        <f>VLOOKUP(C1112,'[2]Ensaio 1'!$A$2:$F$28,6,FALSE)</f>
        <v>2</v>
      </c>
      <c r="C1112" s="36">
        <v>960000003688457</v>
      </c>
      <c r="D1112" s="36">
        <v>960000003688457</v>
      </c>
      <c r="E1112" s="1">
        <f t="shared" si="17"/>
        <v>44991</v>
      </c>
      <c r="F1112" s="51">
        <v>44991.030763888899</v>
      </c>
      <c r="G1112" s="51">
        <v>44991.034166666701</v>
      </c>
      <c r="H1112" s="52">
        <v>3.3449074074069999E-3</v>
      </c>
      <c r="I1112">
        <v>0.73833334445953402</v>
      </c>
      <c r="J1112">
        <v>9586.6026417222602</v>
      </c>
      <c r="K1112">
        <v>270.88579639903998</v>
      </c>
    </row>
    <row r="1113" spans="1:11" x14ac:dyDescent="0.25">
      <c r="A1113" t="s">
        <v>0</v>
      </c>
      <c r="B1113">
        <f>VLOOKUP(C1113,'[2]Ensaio 1'!$A$2:$F$28,6,FALSE)</f>
        <v>2</v>
      </c>
      <c r="C1113" s="36">
        <v>900248002084301</v>
      </c>
      <c r="D1113" s="36">
        <v>900248002084301</v>
      </c>
      <c r="E1113" s="1">
        <f t="shared" si="17"/>
        <v>44991</v>
      </c>
      <c r="F1113" s="51">
        <v>44991.041388888902</v>
      </c>
      <c r="G1113" s="51">
        <v>44991.045150462996</v>
      </c>
      <c r="H1113" s="52">
        <v>3.6805555555559999E-3</v>
      </c>
      <c r="I1113">
        <v>0.993333339691162</v>
      </c>
      <c r="J1113">
        <v>11542.319548879501</v>
      </c>
      <c r="K1113">
        <v>283.82702981129398</v>
      </c>
    </row>
    <row r="1114" spans="1:11" x14ac:dyDescent="0.25">
      <c r="A1114" t="s">
        <v>0</v>
      </c>
      <c r="B1114">
        <f>VLOOKUP(C1114,'[2]Ensaio 1'!$A$2:$F$28,6,FALSE)</f>
        <v>2</v>
      </c>
      <c r="C1114" s="36">
        <v>960000003516311</v>
      </c>
      <c r="D1114" s="36">
        <v>960000003516311</v>
      </c>
      <c r="E1114" s="1">
        <f t="shared" si="17"/>
        <v>44991</v>
      </c>
      <c r="F1114" s="51">
        <v>44991.047476851898</v>
      </c>
      <c r="G1114" s="51">
        <v>44991.049907407403</v>
      </c>
      <c r="H1114" s="52">
        <v>2.3958333333330001E-3</v>
      </c>
      <c r="I1114">
        <v>1.1394444704055791</v>
      </c>
      <c r="J1114">
        <v>9765.0408080967809</v>
      </c>
      <c r="K1114">
        <v>188.207744625526</v>
      </c>
    </row>
    <row r="1115" spans="1:11" x14ac:dyDescent="0.25">
      <c r="A1115" t="s">
        <v>0</v>
      </c>
      <c r="B1115">
        <f>VLOOKUP(C1115,'[2]Ensaio 1'!$A$2:$F$28,6,FALSE)</f>
        <v>2</v>
      </c>
      <c r="C1115" s="36">
        <v>900248002085907</v>
      </c>
      <c r="D1115" s="36">
        <v>900248002085907</v>
      </c>
      <c r="E1115" s="1">
        <f t="shared" si="17"/>
        <v>44991</v>
      </c>
      <c r="F1115" s="51">
        <v>44991.144849536999</v>
      </c>
      <c r="G1115" s="51">
        <v>44991.147881944402</v>
      </c>
      <c r="H1115" s="52">
        <v>2.974537037037E-3</v>
      </c>
      <c r="I1115">
        <v>3.4763889312744141</v>
      </c>
      <c r="J1115">
        <v>9925.3590061383402</v>
      </c>
      <c r="K1115">
        <v>222.14152677423601</v>
      </c>
    </row>
    <row r="1116" spans="1:11" x14ac:dyDescent="0.25">
      <c r="A1116" t="s">
        <v>0</v>
      </c>
      <c r="B1116">
        <f>VLOOKUP(C1116,'[2]Ensaio 1'!$A$2:$F$28,6,FALSE)</f>
        <v>2</v>
      </c>
      <c r="C1116" s="36">
        <v>900248002084301</v>
      </c>
      <c r="D1116" s="36">
        <v>900248002084301</v>
      </c>
      <c r="E1116" s="1">
        <f t="shared" si="17"/>
        <v>44991</v>
      </c>
      <c r="F1116" s="51">
        <v>44991.267939814803</v>
      </c>
      <c r="G1116" s="51">
        <v>44991.271574074097</v>
      </c>
      <c r="H1116" s="52">
        <v>3.576388888889E-3</v>
      </c>
      <c r="I1116">
        <v>6.4305553436279297</v>
      </c>
      <c r="J1116">
        <v>10752.307676533799</v>
      </c>
      <c r="K1116">
        <v>258.84945197730201</v>
      </c>
    </row>
    <row r="1117" spans="1:11" x14ac:dyDescent="0.25">
      <c r="A1117" t="s">
        <v>0</v>
      </c>
      <c r="B1117">
        <f>VLOOKUP(C1117,'[2]Ensaio 1'!$A$2:$F$28,6,FALSE)</f>
        <v>2</v>
      </c>
      <c r="C1117" s="36">
        <v>960000003516311</v>
      </c>
      <c r="D1117" s="36">
        <v>960000003516311</v>
      </c>
      <c r="E1117" s="1">
        <f t="shared" si="17"/>
        <v>44991</v>
      </c>
      <c r="F1117" s="51">
        <v>44991.276562500003</v>
      </c>
      <c r="G1117" s="51">
        <v>44991.279918981498</v>
      </c>
      <c r="H1117" s="52">
        <v>3.2523148148149998E-3</v>
      </c>
      <c r="I1117">
        <v>6.6374998092651367</v>
      </c>
      <c r="J1117">
        <v>8638.6225957860606</v>
      </c>
      <c r="K1117">
        <v>129.922660512834</v>
      </c>
    </row>
    <row r="1118" spans="1:11" x14ac:dyDescent="0.25">
      <c r="A1118" t="s">
        <v>0</v>
      </c>
      <c r="B1118">
        <f>VLOOKUP(C1118,'[2]Ensaio 1'!$A$2:$F$28,6,FALSE)</f>
        <v>2</v>
      </c>
      <c r="C1118" s="36">
        <v>960000003688457</v>
      </c>
      <c r="D1118" s="36">
        <v>960000003688457</v>
      </c>
      <c r="E1118" s="1">
        <f t="shared" si="17"/>
        <v>44991</v>
      </c>
      <c r="F1118" s="51">
        <v>44991.280648148102</v>
      </c>
      <c r="G1118" s="51">
        <v>44991.285740740699</v>
      </c>
      <c r="H1118" s="52">
        <v>3.5879629629629998E-3</v>
      </c>
      <c r="I1118">
        <v>6.7355556488037109</v>
      </c>
      <c r="J1118">
        <v>9663.0188444842406</v>
      </c>
      <c r="K1118">
        <v>195.36706143932301</v>
      </c>
    </row>
    <row r="1119" spans="1:11" x14ac:dyDescent="0.25">
      <c r="A1119" t="s">
        <v>0</v>
      </c>
      <c r="B1119">
        <f>VLOOKUP(C1119,'[2]Ensaio 1'!$A$2:$F$28,6,FALSE)</f>
        <v>2</v>
      </c>
      <c r="C1119" s="36">
        <v>960000003827747</v>
      </c>
      <c r="D1119" s="36">
        <v>960000003827747</v>
      </c>
      <c r="E1119" s="1">
        <f t="shared" si="17"/>
        <v>44991</v>
      </c>
      <c r="F1119" s="51">
        <v>44991.285868055602</v>
      </c>
      <c r="G1119" s="51">
        <v>44991.289236111101</v>
      </c>
      <c r="H1119" s="52">
        <v>3.333333333333E-3</v>
      </c>
      <c r="I1119">
        <v>6.8608331680297852</v>
      </c>
      <c r="J1119">
        <v>9388.7911491786708</v>
      </c>
      <c r="K1119">
        <v>197.65286028290001</v>
      </c>
    </row>
    <row r="1120" spans="1:11" x14ac:dyDescent="0.25">
      <c r="A1120" t="s">
        <v>0</v>
      </c>
      <c r="B1120">
        <f>VLOOKUP(C1120,'[2]Ensaio 1'!$A$2:$F$28,6,FALSE)</f>
        <v>2</v>
      </c>
      <c r="C1120" s="36">
        <v>960000003516311</v>
      </c>
      <c r="D1120" s="36">
        <v>960000003516311</v>
      </c>
      <c r="E1120" s="1">
        <f t="shared" si="17"/>
        <v>44991</v>
      </c>
      <c r="F1120" s="51">
        <v>44991.341967592598</v>
      </c>
      <c r="G1120" s="51">
        <v>44991.343645833302</v>
      </c>
      <c r="H1120" s="52">
        <v>1.6435185185189999E-3</v>
      </c>
      <c r="I1120">
        <v>8.2072219848632813</v>
      </c>
      <c r="J1120">
        <v>8049.1552725064803</v>
      </c>
      <c r="K1120">
        <v>176.10295672200701</v>
      </c>
    </row>
    <row r="1121" spans="1:11" x14ac:dyDescent="0.25">
      <c r="A1121" t="s">
        <v>0</v>
      </c>
      <c r="B1121">
        <f>VLOOKUP(C1121,'[2]Ensaio 1'!$A$2:$F$28,6,FALSE)</f>
        <v>2</v>
      </c>
      <c r="C1121" s="36">
        <v>900248002085907</v>
      </c>
      <c r="D1121" s="36">
        <v>900248002085907</v>
      </c>
      <c r="E1121" s="1">
        <f t="shared" si="17"/>
        <v>44991</v>
      </c>
      <c r="F1121" s="51">
        <v>44991.360162037003</v>
      </c>
      <c r="G1121" s="51">
        <v>44991.364247685196</v>
      </c>
      <c r="H1121" s="52">
        <v>3.9930555555560002E-3</v>
      </c>
      <c r="I1121">
        <v>8.6438884735107422</v>
      </c>
      <c r="J1121">
        <v>9090.9309864370407</v>
      </c>
      <c r="K1121">
        <v>303.23415887401501</v>
      </c>
    </row>
    <row r="1122" spans="1:11" x14ac:dyDescent="0.25">
      <c r="A1122" t="s">
        <v>0</v>
      </c>
      <c r="B1122">
        <f>VLOOKUP(C1122,'[2]Ensaio 1'!$A$2:$F$28,6,FALSE)</f>
        <v>2</v>
      </c>
      <c r="C1122" s="36">
        <v>960000003827747</v>
      </c>
      <c r="D1122" s="36">
        <v>960000003827747</v>
      </c>
      <c r="E1122" s="1">
        <f t="shared" si="17"/>
        <v>44991</v>
      </c>
      <c r="F1122" s="51">
        <v>44991.505289351902</v>
      </c>
      <c r="G1122" s="51">
        <v>44991.508819444403</v>
      </c>
      <c r="H1122" s="52">
        <v>3.4606481481480001E-3</v>
      </c>
      <c r="I1122">
        <v>12.126944541931152</v>
      </c>
      <c r="J1122">
        <v>10193.631820415199</v>
      </c>
      <c r="K1122">
        <v>194.643718510008</v>
      </c>
    </row>
    <row r="1123" spans="1:11" x14ac:dyDescent="0.25">
      <c r="A1123" t="s">
        <v>0</v>
      </c>
      <c r="B1123">
        <f>VLOOKUP(C1123,'[2]Ensaio 1'!$A$2:$F$28,6,FALSE)</f>
        <v>2</v>
      </c>
      <c r="C1123" s="36">
        <v>900248002084301</v>
      </c>
      <c r="D1123" s="36">
        <v>900248002084301</v>
      </c>
      <c r="E1123" s="1">
        <f t="shared" si="17"/>
        <v>44991</v>
      </c>
      <c r="F1123" s="51">
        <v>44991.5476388889</v>
      </c>
      <c r="G1123" s="51">
        <v>44991.5492592593</v>
      </c>
      <c r="H1123" s="52">
        <v>1.5972222222220001E-3</v>
      </c>
      <c r="I1123">
        <v>13.143333435058594</v>
      </c>
      <c r="J1123">
        <v>10222.087377709</v>
      </c>
      <c r="K1123">
        <v>133.77661782246801</v>
      </c>
    </row>
    <row r="1124" spans="1:11" x14ac:dyDescent="0.25">
      <c r="A1124" t="s">
        <v>0</v>
      </c>
      <c r="B1124">
        <f>VLOOKUP(C1124,'[2]Ensaio 1'!$A$2:$F$28,6,FALSE)</f>
        <v>2</v>
      </c>
      <c r="C1124" s="36">
        <v>960000003516311</v>
      </c>
      <c r="D1124" s="36">
        <v>960000003516311</v>
      </c>
      <c r="E1124" s="1">
        <f t="shared" si="17"/>
        <v>44991</v>
      </c>
      <c r="F1124" s="51">
        <v>44991.549849536997</v>
      </c>
      <c r="G1124" s="51">
        <v>44991.553796296299</v>
      </c>
      <c r="H1124" s="52">
        <v>2.8472222222219999E-3</v>
      </c>
      <c r="I1124">
        <v>13.196389198303223</v>
      </c>
      <c r="J1124">
        <v>9175.6889424833498</v>
      </c>
      <c r="K1124">
        <v>194.96900363342499</v>
      </c>
    </row>
    <row r="1125" spans="1:11" x14ac:dyDescent="0.25">
      <c r="A1125" t="s">
        <v>0</v>
      </c>
      <c r="B1125">
        <f>VLOOKUP(C1125,'[2]Ensaio 1'!$A$2:$F$28,6,FALSE)</f>
        <v>2</v>
      </c>
      <c r="C1125" s="36">
        <v>960000003688457</v>
      </c>
      <c r="D1125" s="36">
        <v>960000003688457</v>
      </c>
      <c r="E1125" s="1">
        <f t="shared" si="17"/>
        <v>44991</v>
      </c>
      <c r="F1125" s="51">
        <v>44991.5541435185</v>
      </c>
      <c r="G1125" s="51">
        <v>44991.5577430556</v>
      </c>
      <c r="H1125" s="52">
        <v>3.506944444444E-3</v>
      </c>
      <c r="I1125">
        <v>13.299444198608398</v>
      </c>
      <c r="J1125">
        <v>8692.5375753060507</v>
      </c>
      <c r="K1125">
        <v>181.58754367206501</v>
      </c>
    </row>
    <row r="1126" spans="1:11" x14ac:dyDescent="0.25">
      <c r="A1126" t="s">
        <v>0</v>
      </c>
      <c r="B1126">
        <f>VLOOKUP(C1126,'[2]Ensaio 1'!$A$2:$F$28,6,FALSE)</f>
        <v>2</v>
      </c>
      <c r="C1126" s="36">
        <v>900248002085907</v>
      </c>
      <c r="D1126" s="36">
        <v>900248002085907</v>
      </c>
      <c r="E1126" s="1">
        <f t="shared" si="17"/>
        <v>44991</v>
      </c>
      <c r="F1126" s="51">
        <v>44991.589988425898</v>
      </c>
      <c r="G1126" s="51">
        <v>44991.592800925901</v>
      </c>
      <c r="H1126" s="52">
        <v>2.7662037037040001E-3</v>
      </c>
      <c r="I1126">
        <v>14.159722328186035</v>
      </c>
      <c r="J1126">
        <v>9315.0899474235302</v>
      </c>
      <c r="K1126">
        <v>306.02503834407997</v>
      </c>
    </row>
    <row r="1127" spans="1:11" x14ac:dyDescent="0.25">
      <c r="A1127" t="s">
        <v>0</v>
      </c>
      <c r="B1127">
        <f>VLOOKUP(C1127,'[2]Ensaio 1'!$A$2:$F$28,6,FALSE)</f>
        <v>2</v>
      </c>
      <c r="C1127" s="36">
        <v>960000003827747</v>
      </c>
      <c r="D1127" s="36">
        <v>960000003827747</v>
      </c>
      <c r="E1127" s="1">
        <f t="shared" si="17"/>
        <v>44991</v>
      </c>
      <c r="F1127" s="51">
        <v>44991.729016203702</v>
      </c>
      <c r="G1127" s="51">
        <v>44991.733310185198</v>
      </c>
      <c r="H1127" s="52">
        <v>4.0972222222219997E-3</v>
      </c>
      <c r="I1127">
        <v>17.496389389038086</v>
      </c>
      <c r="J1127">
        <v>10031.821215165901</v>
      </c>
      <c r="K1127">
        <v>233.38874867544601</v>
      </c>
    </row>
    <row r="1128" spans="1:11" x14ac:dyDescent="0.25">
      <c r="A1128" t="s">
        <v>0</v>
      </c>
      <c r="B1128">
        <f>VLOOKUP(C1128,'[2]Ensaio 1'!$A$2:$F$28,6,FALSE)</f>
        <v>2</v>
      </c>
      <c r="C1128" s="36">
        <v>960000003516311</v>
      </c>
      <c r="D1128" s="36">
        <v>960000003516311</v>
      </c>
      <c r="E1128" s="1">
        <f t="shared" si="17"/>
        <v>44991</v>
      </c>
      <c r="F1128" s="51">
        <v>44991.781099537002</v>
      </c>
      <c r="G1128" s="51">
        <v>44991.784074074101</v>
      </c>
      <c r="H1128" s="52">
        <v>2.9282407407410001E-3</v>
      </c>
      <c r="I1128">
        <v>18.746389389038086</v>
      </c>
      <c r="J1128">
        <v>8773.7481478654099</v>
      </c>
      <c r="K1128">
        <v>174.50680038570599</v>
      </c>
    </row>
    <row r="1129" spans="1:11" x14ac:dyDescent="0.25">
      <c r="A1129" t="s">
        <v>0</v>
      </c>
      <c r="B1129">
        <f>VLOOKUP(C1129,'[2]Ensaio 1'!$A$2:$F$28,6,FALSE)</f>
        <v>2</v>
      </c>
      <c r="C1129" s="36">
        <v>960000003688457</v>
      </c>
      <c r="D1129" s="36">
        <v>960000003688457</v>
      </c>
      <c r="E1129" s="1">
        <f t="shared" si="17"/>
        <v>44991</v>
      </c>
      <c r="F1129" s="51">
        <v>44991.785127314797</v>
      </c>
      <c r="G1129" s="51">
        <v>44991.788368055597</v>
      </c>
      <c r="H1129" s="52">
        <v>3.1828703703699998E-3</v>
      </c>
      <c r="I1129">
        <v>18.843055725097656</v>
      </c>
      <c r="J1129">
        <v>11128.089497401499</v>
      </c>
      <c r="K1129">
        <v>253.29184853356301</v>
      </c>
    </row>
    <row r="1130" spans="1:11" x14ac:dyDescent="0.25">
      <c r="A1130" t="s">
        <v>0</v>
      </c>
      <c r="B1130">
        <f>VLOOKUP(C1130,'[2]Ensaio 1'!$A$2:$F$28,6,FALSE)</f>
        <v>2</v>
      </c>
      <c r="C1130" s="36">
        <v>900248002085907</v>
      </c>
      <c r="D1130" s="36">
        <v>900248002085907</v>
      </c>
      <c r="E1130" s="1">
        <f t="shared" si="17"/>
        <v>44991</v>
      </c>
      <c r="F1130" s="51">
        <v>44991.939606481501</v>
      </c>
      <c r="G1130" s="51">
        <v>44991.943263888897</v>
      </c>
      <c r="H1130" s="52">
        <v>3.6111111111109999E-3</v>
      </c>
      <c r="I1130">
        <v>22.550556182861328</v>
      </c>
      <c r="J1130">
        <v>9164.8731262418605</v>
      </c>
      <c r="K1130">
        <v>211.805866038082</v>
      </c>
    </row>
    <row r="1131" spans="1:11" x14ac:dyDescent="0.25">
      <c r="A1131" t="s">
        <v>0</v>
      </c>
      <c r="B1131">
        <f>VLOOKUP(C1131,'[2]Ensaio 1'!$A$2:$F$28,6,FALSE)</f>
        <v>2</v>
      </c>
      <c r="C1131" s="36">
        <v>960000003827747</v>
      </c>
      <c r="D1131" s="36">
        <v>960000003827747</v>
      </c>
      <c r="E1131" s="1">
        <f t="shared" si="17"/>
        <v>44991</v>
      </c>
      <c r="F1131" s="51">
        <v>44991.960405092599</v>
      </c>
      <c r="G1131" s="51">
        <v>44991.964583333298</v>
      </c>
      <c r="H1131" s="52">
        <v>4.1087962962960004E-3</v>
      </c>
      <c r="I1131">
        <v>23.049722671508789</v>
      </c>
      <c r="J1131">
        <v>9168.2387921776899</v>
      </c>
      <c r="K1131">
        <v>196.194638937837</v>
      </c>
    </row>
    <row r="1132" spans="1:11" x14ac:dyDescent="0.25">
      <c r="A1132" t="s">
        <v>0</v>
      </c>
      <c r="B1132">
        <f>VLOOKUP(C1132,'[2]Ensaio 1'!$A$2:$F$28,6,FALSE)</f>
        <v>2</v>
      </c>
      <c r="C1132" s="36">
        <v>900248002084301</v>
      </c>
      <c r="D1132" s="36">
        <v>900248002084301</v>
      </c>
      <c r="E1132" s="1">
        <f t="shared" si="17"/>
        <v>44991</v>
      </c>
      <c r="F1132" s="51">
        <v>44991.995277777802</v>
      </c>
      <c r="G1132" s="51">
        <v>44991.998703703699</v>
      </c>
      <c r="H1132" s="52">
        <v>3.3680555555560001E-3</v>
      </c>
      <c r="I1132">
        <v>23.886667251586914</v>
      </c>
      <c r="J1132">
        <v>11030.3286277686</v>
      </c>
      <c r="K1132">
        <v>272.578054689765</v>
      </c>
    </row>
    <row r="1133" spans="1:11" x14ac:dyDescent="0.25">
      <c r="A1133" t="s">
        <v>0</v>
      </c>
      <c r="B1133">
        <f>VLOOKUP(C1133,'[2]Ensaio 1'!$A$2:$F$28,6,FALSE)</f>
        <v>2</v>
      </c>
      <c r="C1133" s="36">
        <v>960000003827747</v>
      </c>
      <c r="D1133" s="36">
        <v>960000003827747</v>
      </c>
      <c r="E1133" s="1">
        <f t="shared" si="17"/>
        <v>44992</v>
      </c>
      <c r="F1133" s="51">
        <v>44992.050243055601</v>
      </c>
      <c r="G1133" s="51">
        <v>44992.053321759297</v>
      </c>
      <c r="H1133" s="52">
        <v>2.8935185185190002E-3</v>
      </c>
      <c r="I1133">
        <v>1.205833315849304</v>
      </c>
      <c r="J1133">
        <v>9529.3085685732003</v>
      </c>
      <c r="K1133">
        <v>220.35889992792301</v>
      </c>
    </row>
    <row r="1134" spans="1:11" x14ac:dyDescent="0.25">
      <c r="A1134" t="s">
        <v>0</v>
      </c>
      <c r="B1134">
        <f>VLOOKUP(C1134,'[2]Ensaio 1'!$A$2:$F$28,6,FALSE)</f>
        <v>2</v>
      </c>
      <c r="C1134" s="36">
        <v>960000003516311</v>
      </c>
      <c r="D1134" s="36">
        <v>960000003516311</v>
      </c>
      <c r="E1134" s="1">
        <f t="shared" si="17"/>
        <v>44992</v>
      </c>
      <c r="F1134" s="51">
        <v>44992.061296296299</v>
      </c>
      <c r="G1134" s="51">
        <v>44992.0646180556</v>
      </c>
      <c r="H1134" s="52">
        <v>3.275462962963E-3</v>
      </c>
      <c r="I1134">
        <v>1.471111059188843</v>
      </c>
      <c r="J1134">
        <v>9379.0400805379795</v>
      </c>
      <c r="K1134">
        <v>158.84010577220801</v>
      </c>
    </row>
    <row r="1135" spans="1:11" x14ac:dyDescent="0.25">
      <c r="A1135" t="s">
        <v>0</v>
      </c>
      <c r="B1135">
        <f>VLOOKUP(C1135,'[2]Ensaio 1'!$A$2:$F$28,6,FALSE)</f>
        <v>2</v>
      </c>
      <c r="C1135" s="36">
        <v>900248002084301</v>
      </c>
      <c r="D1135" s="36">
        <v>900248002084301</v>
      </c>
      <c r="E1135" s="1">
        <f t="shared" si="17"/>
        <v>44992</v>
      </c>
      <c r="F1135" s="51">
        <v>44992.066701388903</v>
      </c>
      <c r="G1135" s="51">
        <v>44992.070115740702</v>
      </c>
      <c r="H1135" s="52">
        <v>3.3449074074069999E-3</v>
      </c>
      <c r="I1135">
        <v>1.6008332967758181</v>
      </c>
      <c r="J1135">
        <v>11683.467290323801</v>
      </c>
      <c r="K1135">
        <v>278.55608201886901</v>
      </c>
    </row>
    <row r="1136" spans="1:11" x14ac:dyDescent="0.25">
      <c r="A1136" t="s">
        <v>0</v>
      </c>
      <c r="B1136">
        <f>VLOOKUP(C1136,'[2]Ensaio 1'!$A$2:$F$28,6,FALSE)</f>
        <v>2</v>
      </c>
      <c r="C1136" s="36">
        <v>960000003688457</v>
      </c>
      <c r="D1136" s="36">
        <v>960000003688457</v>
      </c>
      <c r="E1136" s="1">
        <f t="shared" si="17"/>
        <v>44992</v>
      </c>
      <c r="F1136" s="51">
        <v>44992.153229166703</v>
      </c>
      <c r="G1136" s="51">
        <v>44992.1581828704</v>
      </c>
      <c r="H1136" s="52">
        <v>3.7847222222219998E-3</v>
      </c>
      <c r="I1136">
        <v>3.6775000095367432</v>
      </c>
      <c r="J1136">
        <v>8377.7347586325504</v>
      </c>
      <c r="K1136">
        <v>131.66352061503801</v>
      </c>
    </row>
    <row r="1137" spans="1:11" x14ac:dyDescent="0.25">
      <c r="A1137" t="s">
        <v>0</v>
      </c>
      <c r="B1137">
        <f>VLOOKUP(C1137,'[2]Ensaio 1'!$A$2:$F$28,6,FALSE)</f>
        <v>2</v>
      </c>
      <c r="C1137" s="36">
        <v>900248002085907</v>
      </c>
      <c r="D1137" s="36">
        <v>900248002085907</v>
      </c>
      <c r="E1137" s="1">
        <f t="shared" si="17"/>
        <v>44992</v>
      </c>
      <c r="F1137" s="51">
        <v>44992.1863310185</v>
      </c>
      <c r="G1137" s="51">
        <v>44992.189317129603</v>
      </c>
      <c r="H1137" s="52">
        <v>2.9513888888889998E-3</v>
      </c>
      <c r="I1137">
        <v>4.4719443321228027</v>
      </c>
      <c r="J1137">
        <v>9142.8053022486092</v>
      </c>
      <c r="K1137">
        <v>195.97487853738701</v>
      </c>
    </row>
    <row r="1138" spans="1:11" x14ac:dyDescent="0.25">
      <c r="A1138" t="s">
        <v>0</v>
      </c>
      <c r="B1138">
        <f>VLOOKUP(C1138,'[2]Ensaio 1'!$A$2:$F$28,6,FALSE)</f>
        <v>2</v>
      </c>
      <c r="C1138" s="36">
        <v>900248002084301</v>
      </c>
      <c r="D1138" s="36">
        <v>900248002084301</v>
      </c>
      <c r="E1138" s="1">
        <f t="shared" si="17"/>
        <v>44992</v>
      </c>
      <c r="F1138" s="51">
        <v>44992.278229166703</v>
      </c>
      <c r="G1138" s="51">
        <v>44992.281006944402</v>
      </c>
      <c r="H1138" s="52">
        <v>2.731481481481E-3</v>
      </c>
      <c r="I1138">
        <v>6.6774997711181641</v>
      </c>
      <c r="J1138">
        <v>10966.3331030805</v>
      </c>
      <c r="K1138">
        <v>247.03918527701899</v>
      </c>
    </row>
    <row r="1139" spans="1:11" x14ac:dyDescent="0.25">
      <c r="A1139" t="s">
        <v>0</v>
      </c>
      <c r="B1139">
        <f>VLOOKUP(C1139,'[2]Ensaio 1'!$A$2:$F$28,6,FALSE)</f>
        <v>2</v>
      </c>
      <c r="C1139" s="36">
        <v>960000003827747</v>
      </c>
      <c r="D1139" s="36">
        <v>960000003827747</v>
      </c>
      <c r="E1139" s="1">
        <f t="shared" si="17"/>
        <v>44992</v>
      </c>
      <c r="F1139" s="51">
        <v>44992.2883449074</v>
      </c>
      <c r="G1139" s="51">
        <v>44992.292581018497</v>
      </c>
      <c r="H1139" s="52">
        <v>3.7268518518520002E-3</v>
      </c>
      <c r="I1139">
        <v>6.9202775955200204</v>
      </c>
      <c r="J1139">
        <v>8242.0812250801991</v>
      </c>
      <c r="K1139">
        <v>190.24180180011501</v>
      </c>
    </row>
    <row r="1140" spans="1:11" x14ac:dyDescent="0.25">
      <c r="A1140" t="s">
        <v>0</v>
      </c>
      <c r="B1140">
        <f>VLOOKUP(C1140,'[2]Ensaio 1'!$A$2:$F$28,6,FALSE)</f>
        <v>2</v>
      </c>
      <c r="C1140" s="36">
        <v>960000003516311</v>
      </c>
      <c r="D1140" s="36">
        <v>960000003516311</v>
      </c>
      <c r="E1140" s="1">
        <f t="shared" si="17"/>
        <v>44992</v>
      </c>
      <c r="F1140" s="51">
        <v>44992.310324074097</v>
      </c>
      <c r="G1140" s="51">
        <v>44992.312939814801</v>
      </c>
      <c r="H1140" s="52">
        <v>2.5810185185189999E-3</v>
      </c>
      <c r="I1140">
        <v>7.4477777481079102</v>
      </c>
      <c r="J1140">
        <v>8289.7511397492999</v>
      </c>
      <c r="K1140">
        <v>136.10776211042</v>
      </c>
    </row>
    <row r="1141" spans="1:11" x14ac:dyDescent="0.25">
      <c r="A1141" t="str">
        <f>VLOOKUP(C1141,'[2]Ensaio 1'!$A$2:$E$28,5,FALSE)</f>
        <v>Control</v>
      </c>
      <c r="B1141">
        <f>VLOOKUP(C1141,'[2]Ensaio 1'!$A$2:$F$28,6,FALSE)</f>
        <v>3</v>
      </c>
      <c r="C1141" s="36">
        <v>960000003664778</v>
      </c>
      <c r="D1141" s="36">
        <v>960000003664778</v>
      </c>
      <c r="E1141" s="1">
        <f t="shared" si="17"/>
        <v>44992</v>
      </c>
      <c r="F1141" s="51">
        <v>44992.353645833296</v>
      </c>
      <c r="G1141" s="51">
        <v>44992.356840277796</v>
      </c>
      <c r="H1141" s="52">
        <v>3.1481481481479999E-3</v>
      </c>
      <c r="I1141">
        <v>8.4875001907348633</v>
      </c>
      <c r="J1141">
        <v>10543.302157207299</v>
      </c>
      <c r="K1141">
        <v>115.19537692054099</v>
      </c>
    </row>
    <row r="1142" spans="1:11" x14ac:dyDescent="0.25">
      <c r="A1142" t="str">
        <f>VLOOKUP(C1142,'[2]Ensaio 1'!$A$2:$E$28,5,FALSE)</f>
        <v>Control</v>
      </c>
      <c r="B1142">
        <f>VLOOKUP(C1142,'[2]Ensaio 1'!$A$2:$F$28,6,FALSE)</f>
        <v>3</v>
      </c>
      <c r="C1142" s="36">
        <v>960000003608633</v>
      </c>
      <c r="D1142" s="36">
        <v>960000003608633</v>
      </c>
      <c r="E1142" s="1">
        <f t="shared" si="17"/>
        <v>44992</v>
      </c>
      <c r="F1142" s="51">
        <v>44992.364571759303</v>
      </c>
      <c r="G1142" s="51">
        <v>44992.367569444403</v>
      </c>
      <c r="H1142" s="52">
        <v>2.9513888888889998E-3</v>
      </c>
      <c r="I1142">
        <v>8.7497224807739258</v>
      </c>
      <c r="J1142">
        <v>10542.4524095405</v>
      </c>
      <c r="K1142">
        <v>117.19108147460101</v>
      </c>
    </row>
    <row r="1143" spans="1:11" x14ac:dyDescent="0.25">
      <c r="A1143" t="str">
        <f>VLOOKUP(C1143,'[2]Ensaio 1'!$A$2:$E$28,5,FALSE)</f>
        <v>Control</v>
      </c>
      <c r="B1143">
        <f>VLOOKUP(C1143,'[2]Ensaio 1'!$A$2:$F$28,6,FALSE)</f>
        <v>3</v>
      </c>
      <c r="C1143" s="36">
        <v>900248002084626</v>
      </c>
      <c r="D1143" s="36">
        <v>900248002084626</v>
      </c>
      <c r="E1143" s="1">
        <f t="shared" si="17"/>
        <v>44992</v>
      </c>
      <c r="F1143" s="51">
        <v>44992.379837963003</v>
      </c>
      <c r="G1143" s="51">
        <v>44992.385127314803</v>
      </c>
      <c r="H1143" s="52">
        <v>4.2476851851850003E-3</v>
      </c>
      <c r="I1143">
        <v>9.1161108016967773</v>
      </c>
      <c r="J1143">
        <v>10773.9478828888</v>
      </c>
      <c r="K1143">
        <v>123.80516771608301</v>
      </c>
    </row>
    <row r="1144" spans="1:11" x14ac:dyDescent="0.25">
      <c r="A1144" t="str">
        <f>VLOOKUP(C1144,'[2]Ensaio 1'!$A$2:$E$28,5,FALSE)</f>
        <v>Control</v>
      </c>
      <c r="B1144">
        <f>VLOOKUP(C1144,'[2]Ensaio 1'!$A$2:$F$28,6,FALSE)</f>
        <v>3</v>
      </c>
      <c r="C1144" s="36">
        <v>960000003827766</v>
      </c>
      <c r="D1144" s="36">
        <v>960000003827766</v>
      </c>
      <c r="E1144" s="1">
        <f t="shared" si="17"/>
        <v>44992</v>
      </c>
      <c r="F1144" s="51">
        <v>44992.395115740699</v>
      </c>
      <c r="G1144" s="51">
        <v>44992.398356481499</v>
      </c>
      <c r="H1144" s="52">
        <v>2.7546296296299998E-3</v>
      </c>
      <c r="I1144">
        <v>9.4827775955200195</v>
      </c>
      <c r="J1144">
        <v>10108.2846559958</v>
      </c>
      <c r="K1144">
        <v>87.643373537528106</v>
      </c>
    </row>
    <row r="1145" spans="1:11" x14ac:dyDescent="0.25">
      <c r="A1145" t="str">
        <f>VLOOKUP(C1145,'[2]Ensaio 1'!$A$2:$E$28,5,FALSE)</f>
        <v>Control</v>
      </c>
      <c r="B1145">
        <f>VLOOKUP(C1145,'[2]Ensaio 1'!$A$2:$F$28,6,FALSE)</f>
        <v>3</v>
      </c>
      <c r="C1145" s="36">
        <v>960000003608633</v>
      </c>
      <c r="D1145" s="36">
        <v>960000003608633</v>
      </c>
      <c r="E1145" s="1">
        <f t="shared" si="17"/>
        <v>44992</v>
      </c>
      <c r="F1145" s="51">
        <v>44992.400995370401</v>
      </c>
      <c r="G1145" s="51">
        <v>44992.402465277803</v>
      </c>
      <c r="H1145" s="52">
        <v>1.4583333333329999E-3</v>
      </c>
      <c r="I1145">
        <v>9.6238889694213867</v>
      </c>
      <c r="J1145">
        <v>8762.8253134654897</v>
      </c>
      <c r="K1145">
        <v>78.004472529633304</v>
      </c>
    </row>
    <row r="1146" spans="1:11" x14ac:dyDescent="0.25">
      <c r="A1146" t="str">
        <f>VLOOKUP(C1146,'[2]Ensaio 1'!$A$2:$E$28,5,FALSE)</f>
        <v>Control</v>
      </c>
      <c r="B1146">
        <f>VLOOKUP(C1146,'[2]Ensaio 1'!$A$2:$F$28,6,FALSE)</f>
        <v>3</v>
      </c>
      <c r="C1146" s="36">
        <v>960000003688522</v>
      </c>
      <c r="D1146" s="36">
        <v>960000003688522</v>
      </c>
      <c r="E1146" s="1">
        <f t="shared" si="17"/>
        <v>44992</v>
      </c>
      <c r="F1146" s="51">
        <v>44992.450914351903</v>
      </c>
      <c r="G1146" s="51">
        <v>44992.454375000001</v>
      </c>
      <c r="H1146" s="52">
        <v>3.2291666666670001E-3</v>
      </c>
      <c r="I1146">
        <v>10.821944236755371</v>
      </c>
      <c r="J1146">
        <v>7472.7117777834701</v>
      </c>
      <c r="K1146">
        <v>97.076541538823804</v>
      </c>
    </row>
    <row r="1147" spans="1:11" x14ac:dyDescent="0.25">
      <c r="A1147" t="str">
        <f>VLOOKUP(C1147,'[2]Ensaio 1'!$A$2:$E$28,5,FALSE)</f>
        <v>Control</v>
      </c>
      <c r="B1147">
        <f>VLOOKUP(C1147,'[2]Ensaio 1'!$A$2:$F$28,6,FALSE)</f>
        <v>3</v>
      </c>
      <c r="C1147" s="36">
        <v>960000003664778</v>
      </c>
      <c r="D1147" s="36">
        <v>960000003664778</v>
      </c>
      <c r="E1147" s="1">
        <f t="shared" si="17"/>
        <v>44992</v>
      </c>
      <c r="F1147" s="51">
        <v>44992.564953703702</v>
      </c>
      <c r="G1147" s="51">
        <v>44992.570636574099</v>
      </c>
      <c r="H1147" s="52">
        <v>3.5879629629629998E-3</v>
      </c>
      <c r="I1147">
        <v>13.55888843536377</v>
      </c>
      <c r="J1147">
        <v>9180.0573593879108</v>
      </c>
      <c r="K1147">
        <v>161.77618792685999</v>
      </c>
    </row>
    <row r="1148" spans="1:11" x14ac:dyDescent="0.25">
      <c r="A1148" t="str">
        <f>VLOOKUP(C1148,'[2]Ensaio 1'!$A$2:$E$28,5,FALSE)</f>
        <v>Control</v>
      </c>
      <c r="B1148">
        <f>VLOOKUP(C1148,'[2]Ensaio 1'!$A$2:$F$28,6,FALSE)</f>
        <v>3</v>
      </c>
      <c r="C1148" s="36">
        <v>900248002084626</v>
      </c>
      <c r="D1148" s="36">
        <v>900248002084626</v>
      </c>
      <c r="E1148" s="1">
        <f t="shared" si="17"/>
        <v>44992</v>
      </c>
      <c r="F1148" s="51">
        <v>44992.596886574102</v>
      </c>
      <c r="G1148" s="51">
        <v>44992.600312499999</v>
      </c>
      <c r="H1148" s="52">
        <v>2.2106481481479999E-3</v>
      </c>
      <c r="I1148">
        <v>14.325277328491211</v>
      </c>
      <c r="J1148">
        <v>10795.4151694761</v>
      </c>
      <c r="K1148">
        <v>99.149764532126099</v>
      </c>
    </row>
    <row r="1149" spans="1:11" x14ac:dyDescent="0.25">
      <c r="A1149" t="str">
        <f>VLOOKUP(C1149,'[2]Ensaio 1'!$A$2:$E$28,5,FALSE)</f>
        <v>Control</v>
      </c>
      <c r="B1149">
        <f>VLOOKUP(C1149,'[2]Ensaio 1'!$A$2:$F$28,6,FALSE)</f>
        <v>3</v>
      </c>
      <c r="C1149" s="36">
        <v>960000003608633</v>
      </c>
      <c r="D1149" s="36">
        <v>960000003608633</v>
      </c>
      <c r="E1149" s="1">
        <f t="shared" si="17"/>
        <v>44992</v>
      </c>
      <c r="F1149" s="51">
        <v>44992.609351851897</v>
      </c>
      <c r="G1149" s="51">
        <v>44992.612442129597</v>
      </c>
      <c r="H1149" s="52">
        <v>2.9976851851850001E-3</v>
      </c>
      <c r="I1149">
        <v>14.624444007873535</v>
      </c>
      <c r="J1149">
        <v>8348.5797038918299</v>
      </c>
      <c r="K1149">
        <v>69.025723653049894</v>
      </c>
    </row>
    <row r="1150" spans="1:11" x14ac:dyDescent="0.25">
      <c r="A1150" t="str">
        <f>VLOOKUP(C1150,'[2]Ensaio 1'!$A$2:$E$28,5,FALSE)</f>
        <v>Control</v>
      </c>
      <c r="B1150">
        <f>VLOOKUP(C1150,'[2]Ensaio 1'!$A$2:$F$28,6,FALSE)</f>
        <v>3</v>
      </c>
      <c r="C1150" s="36">
        <v>960000003688522</v>
      </c>
      <c r="D1150" s="36">
        <v>960000003688522</v>
      </c>
      <c r="E1150" s="1">
        <f t="shared" si="17"/>
        <v>44992</v>
      </c>
      <c r="F1150" s="51">
        <v>44992.669768518499</v>
      </c>
      <c r="G1150" s="51">
        <v>44992.675810185203</v>
      </c>
      <c r="H1150" s="52">
        <v>2.905092592593E-3</v>
      </c>
      <c r="I1150">
        <v>16.074443817138672</v>
      </c>
      <c r="J1150">
        <v>7273.3793211878001</v>
      </c>
      <c r="K1150">
        <v>111.08099827540001</v>
      </c>
    </row>
    <row r="1151" spans="1:11" x14ac:dyDescent="0.25">
      <c r="A1151" t="str">
        <f>VLOOKUP(C1151,'[2]Ensaio 1'!$A$2:$E$28,5,FALSE)</f>
        <v>Control</v>
      </c>
      <c r="B1151">
        <f>VLOOKUP(C1151,'[2]Ensaio 1'!$A$2:$F$28,6,FALSE)</f>
        <v>3</v>
      </c>
      <c r="C1151" s="36">
        <v>960000003664778</v>
      </c>
      <c r="D1151" s="36">
        <v>960000003664778</v>
      </c>
      <c r="E1151" s="1">
        <f t="shared" si="17"/>
        <v>44992</v>
      </c>
      <c r="F1151" s="51">
        <v>44992.7894212963</v>
      </c>
      <c r="G1151" s="51">
        <v>44992.7955671296</v>
      </c>
      <c r="H1151" s="52">
        <v>3.2291666666670001E-3</v>
      </c>
      <c r="I1151">
        <v>18.946111679077148</v>
      </c>
      <c r="J1151">
        <v>11122.4282289238</v>
      </c>
      <c r="K1151">
        <v>210.08953089000499</v>
      </c>
    </row>
    <row r="1152" spans="1:11" x14ac:dyDescent="0.25">
      <c r="A1152" t="str">
        <f>VLOOKUP(C1152,'[2]Ensaio 1'!$A$2:$E$28,5,FALSE)</f>
        <v>Control</v>
      </c>
      <c r="B1152">
        <f>VLOOKUP(C1152,'[2]Ensaio 1'!$A$2:$F$28,6,FALSE)</f>
        <v>3</v>
      </c>
      <c r="C1152" s="36">
        <v>960000003827766</v>
      </c>
      <c r="D1152" s="36">
        <v>960000003827766</v>
      </c>
      <c r="E1152" s="1">
        <f t="shared" si="17"/>
        <v>44992</v>
      </c>
      <c r="F1152" s="51">
        <v>44992.863009259301</v>
      </c>
      <c r="G1152" s="51">
        <v>44992.866585648102</v>
      </c>
      <c r="H1152" s="52">
        <v>3.2175925925929999E-3</v>
      </c>
      <c r="I1152">
        <v>20.712223052978516</v>
      </c>
      <c r="J1152">
        <v>6513.6392761459902</v>
      </c>
      <c r="K1152">
        <v>152.35447456754699</v>
      </c>
    </row>
    <row r="1153" spans="1:11" x14ac:dyDescent="0.25">
      <c r="A1153" t="str">
        <f>VLOOKUP(C1153,'[2]Ensaio 1'!$A$2:$E$28,5,FALSE)</f>
        <v>Control</v>
      </c>
      <c r="B1153">
        <f>VLOOKUP(C1153,'[2]Ensaio 1'!$A$2:$F$28,6,FALSE)</f>
        <v>3</v>
      </c>
      <c r="C1153" s="36">
        <v>960000003608633</v>
      </c>
      <c r="D1153" s="36">
        <v>960000003608633</v>
      </c>
      <c r="E1153" s="1">
        <f t="shared" si="17"/>
        <v>44992</v>
      </c>
      <c r="F1153" s="51">
        <v>44992.887210648201</v>
      </c>
      <c r="G1153" s="51">
        <v>44992.890590277799</v>
      </c>
      <c r="H1153" s="52">
        <v>3.2291666666670001E-3</v>
      </c>
      <c r="I1153">
        <v>21.293056488037109</v>
      </c>
      <c r="J1153">
        <v>9247.6567524854509</v>
      </c>
      <c r="K1153">
        <v>99.563477109082996</v>
      </c>
    </row>
    <row r="1154" spans="1:11" x14ac:dyDescent="0.25">
      <c r="A1154" t="str">
        <f>VLOOKUP(C1154,'[2]Ensaio 1'!$A$2:$E$28,5,FALSE)</f>
        <v>Control</v>
      </c>
      <c r="B1154">
        <f>VLOOKUP(C1154,'[2]Ensaio 1'!$A$2:$F$28,6,FALSE)</f>
        <v>3</v>
      </c>
      <c r="C1154" s="36">
        <v>900248002084626</v>
      </c>
      <c r="D1154" s="36">
        <v>900248002084626</v>
      </c>
      <c r="E1154" s="1">
        <f t="shared" ref="E1154:E1217" si="18">ROUNDDOWN(LEFT(F1154,10),0)</f>
        <v>44992</v>
      </c>
      <c r="F1154" s="51">
        <v>44992.905150462997</v>
      </c>
      <c r="G1154" s="51">
        <v>44992.908437500002</v>
      </c>
      <c r="H1154" s="52">
        <v>3.240740740741E-3</v>
      </c>
      <c r="I1154">
        <v>21.723611831665039</v>
      </c>
      <c r="J1154">
        <v>10206.8289844138</v>
      </c>
      <c r="K1154">
        <v>125.567138895119</v>
      </c>
    </row>
    <row r="1155" spans="1:11" x14ac:dyDescent="0.25">
      <c r="A1155" t="str">
        <f>VLOOKUP(C1155,'[2]Ensaio 1'!$A$2:$E$28,5,FALSE)</f>
        <v>Control</v>
      </c>
      <c r="B1155">
        <f>VLOOKUP(C1155,'[2]Ensaio 1'!$A$2:$F$28,6,FALSE)</f>
        <v>3</v>
      </c>
      <c r="C1155" s="36">
        <v>960000003608633</v>
      </c>
      <c r="D1155" s="36">
        <v>960000003608633</v>
      </c>
      <c r="E1155" s="1">
        <f t="shared" si="18"/>
        <v>44993</v>
      </c>
      <c r="F1155" s="51">
        <v>44993.0156712963</v>
      </c>
      <c r="G1155" s="51">
        <v>44993.018495370401</v>
      </c>
      <c r="H1155" s="52">
        <v>2.7662037037040001E-3</v>
      </c>
      <c r="I1155">
        <v>0.37611111998558</v>
      </c>
      <c r="J1155">
        <v>11594.741327326499</v>
      </c>
      <c r="K1155">
        <v>135.12235113967299</v>
      </c>
    </row>
    <row r="1156" spans="1:11" x14ac:dyDescent="0.25">
      <c r="A1156" t="str">
        <f>VLOOKUP(C1156,'[2]Ensaio 1'!$A$2:$E$28,5,FALSE)</f>
        <v>Control</v>
      </c>
      <c r="B1156">
        <f>VLOOKUP(C1156,'[2]Ensaio 1'!$A$2:$F$28,6,FALSE)</f>
        <v>3</v>
      </c>
      <c r="C1156" s="36">
        <v>960000003664778</v>
      </c>
      <c r="D1156" s="36">
        <v>960000003664778</v>
      </c>
      <c r="E1156" s="1">
        <f t="shared" si="18"/>
        <v>44993</v>
      </c>
      <c r="F1156" s="51">
        <v>44993.023414351897</v>
      </c>
      <c r="G1156" s="51">
        <v>44993.026898148099</v>
      </c>
      <c r="H1156" s="52">
        <v>3.4143518518519999E-3</v>
      </c>
      <c r="I1156">
        <v>0.56194442510604903</v>
      </c>
      <c r="J1156">
        <v>9871.8687569946505</v>
      </c>
      <c r="K1156">
        <v>121.474387699348</v>
      </c>
    </row>
    <row r="1157" spans="1:11" x14ac:dyDescent="0.25">
      <c r="A1157" t="str">
        <f>VLOOKUP(C1157,'[2]Ensaio 1'!$A$2:$E$28,5,FALSE)</f>
        <v>Control</v>
      </c>
      <c r="B1157">
        <f>VLOOKUP(C1157,'[2]Ensaio 1'!$A$2:$F$28,6,FALSE)</f>
        <v>3</v>
      </c>
      <c r="C1157" s="36">
        <v>960000003688522</v>
      </c>
      <c r="D1157" s="36">
        <v>960000003688522</v>
      </c>
      <c r="E1157" s="1">
        <f t="shared" si="18"/>
        <v>44993</v>
      </c>
      <c r="F1157" s="51">
        <v>44993.030185185198</v>
      </c>
      <c r="G1157" s="51">
        <v>44993.033657407403</v>
      </c>
      <c r="H1157" s="52">
        <v>3.1250000000000002E-3</v>
      </c>
      <c r="I1157">
        <v>0.72444444894790605</v>
      </c>
      <c r="J1157">
        <v>8434.92493832527</v>
      </c>
      <c r="K1157">
        <v>140.75286858467899</v>
      </c>
    </row>
    <row r="1158" spans="1:11" x14ac:dyDescent="0.25">
      <c r="A1158" t="str">
        <f>VLOOKUP(C1158,'[2]Ensaio 1'!$A$2:$E$28,5,FALSE)</f>
        <v>Control</v>
      </c>
      <c r="B1158">
        <f>VLOOKUP(C1158,'[2]Ensaio 1'!$A$2:$F$28,6,FALSE)</f>
        <v>3</v>
      </c>
      <c r="C1158" s="36">
        <v>960000003827766</v>
      </c>
      <c r="D1158" s="36">
        <v>960000003827766</v>
      </c>
      <c r="E1158" s="1">
        <f t="shared" si="18"/>
        <v>44993</v>
      </c>
      <c r="F1158" s="51">
        <v>44993.040798611102</v>
      </c>
      <c r="G1158" s="51">
        <v>44993.044305555602</v>
      </c>
      <c r="H1158" s="52">
        <v>3.032407407407E-3</v>
      </c>
      <c r="I1158">
        <v>0.97916668653488204</v>
      </c>
      <c r="J1158">
        <v>9224.8132339184704</v>
      </c>
      <c r="K1158">
        <v>110.288346650638</v>
      </c>
    </row>
    <row r="1159" spans="1:11" x14ac:dyDescent="0.25">
      <c r="A1159" t="str">
        <f>VLOOKUP(C1159,'[2]Ensaio 1'!$A$2:$E$28,5,FALSE)</f>
        <v>Control</v>
      </c>
      <c r="B1159">
        <f>VLOOKUP(C1159,'[2]Ensaio 1'!$A$2:$F$28,6,FALSE)</f>
        <v>3</v>
      </c>
      <c r="C1159" s="36">
        <v>900248002084626</v>
      </c>
      <c r="D1159" s="36">
        <v>900248002084626</v>
      </c>
      <c r="E1159" s="1">
        <f t="shared" si="18"/>
        <v>44993</v>
      </c>
      <c r="F1159" s="51">
        <v>44993.051863425899</v>
      </c>
      <c r="G1159" s="51">
        <v>44993.0553587963</v>
      </c>
      <c r="H1159" s="52">
        <v>3.4259259259260002E-3</v>
      </c>
      <c r="I1159">
        <v>1.244722247123718</v>
      </c>
      <c r="J1159">
        <v>10393.9579262186</v>
      </c>
      <c r="K1159">
        <v>90.366547573241107</v>
      </c>
    </row>
    <row r="1160" spans="1:11" x14ac:dyDescent="0.25">
      <c r="A1160" t="str">
        <f>VLOOKUP(C1160,'[2]Ensaio 1'!$A$2:$E$28,5,FALSE)</f>
        <v>Control</v>
      </c>
      <c r="B1160">
        <f>VLOOKUP(C1160,'[2]Ensaio 1'!$A$2:$F$28,6,FALSE)</f>
        <v>3</v>
      </c>
      <c r="C1160" s="36">
        <v>960000003827766</v>
      </c>
      <c r="D1160" s="36">
        <v>960000003827766</v>
      </c>
      <c r="E1160" s="1">
        <f t="shared" si="18"/>
        <v>44993</v>
      </c>
      <c r="F1160" s="51">
        <v>44993.263148148202</v>
      </c>
      <c r="G1160" s="51">
        <v>44993.266307870399</v>
      </c>
      <c r="H1160" s="52">
        <v>2.604166666667E-3</v>
      </c>
      <c r="I1160">
        <v>6.3155555725097656</v>
      </c>
      <c r="J1160">
        <v>8139.7606286795899</v>
      </c>
      <c r="K1160">
        <v>70.193479114499496</v>
      </c>
    </row>
    <row r="1161" spans="1:11" x14ac:dyDescent="0.25">
      <c r="A1161" t="str">
        <f>VLOOKUP(C1161,'[2]Ensaio 1'!$A$2:$E$28,5,FALSE)</f>
        <v>Control</v>
      </c>
      <c r="B1161">
        <f>VLOOKUP(C1161,'[2]Ensaio 1'!$A$2:$F$28,6,FALSE)</f>
        <v>3</v>
      </c>
      <c r="C1161" s="36">
        <v>960000003664778</v>
      </c>
      <c r="D1161" s="36">
        <v>960000003664778</v>
      </c>
      <c r="E1161" s="1">
        <f t="shared" si="18"/>
        <v>44993</v>
      </c>
      <c r="F1161" s="51">
        <v>44993.280821759297</v>
      </c>
      <c r="G1161" s="51">
        <v>44993.2843055556</v>
      </c>
      <c r="H1161" s="52">
        <v>3.4259259259260002E-3</v>
      </c>
      <c r="I1161">
        <v>6.7397222518920898</v>
      </c>
      <c r="J1161">
        <v>9621.9256113486699</v>
      </c>
      <c r="K1161">
        <v>94.713472099517205</v>
      </c>
    </row>
    <row r="1162" spans="1:11" x14ac:dyDescent="0.25">
      <c r="A1162" t="str">
        <f>VLOOKUP(C1162,'[2]Ensaio 1'!$A$2:$E$28,5,FALSE)</f>
        <v>Control</v>
      </c>
      <c r="B1162">
        <f>VLOOKUP(C1162,'[2]Ensaio 1'!$A$2:$F$28,6,FALSE)</f>
        <v>3</v>
      </c>
      <c r="C1162" s="36">
        <v>960000003608633</v>
      </c>
      <c r="D1162" s="36">
        <v>960000003608633</v>
      </c>
      <c r="E1162" s="1">
        <f t="shared" si="18"/>
        <v>44993</v>
      </c>
      <c r="F1162" s="51">
        <v>44993.288935185199</v>
      </c>
      <c r="G1162" s="51">
        <v>44993.291840277801</v>
      </c>
      <c r="H1162" s="52">
        <v>2.8009259259260001E-3</v>
      </c>
      <c r="I1162">
        <v>6.9344444274902344</v>
      </c>
      <c r="J1162">
        <v>9396.5507853129293</v>
      </c>
      <c r="K1162">
        <v>79.292568960462503</v>
      </c>
    </row>
    <row r="1163" spans="1:11" x14ac:dyDescent="0.25">
      <c r="A1163" t="str">
        <f>VLOOKUP(C1163,'[2]Ensaio 1'!$A$2:$E$28,5,FALSE)</f>
        <v>Control</v>
      </c>
      <c r="B1163">
        <f>VLOOKUP(C1163,'[2]Ensaio 1'!$A$2:$F$28,6,FALSE)</f>
        <v>3</v>
      </c>
      <c r="C1163" s="36">
        <v>960000003688522</v>
      </c>
      <c r="D1163" s="36">
        <v>960000003688522</v>
      </c>
      <c r="E1163" s="1">
        <f t="shared" si="18"/>
        <v>44993</v>
      </c>
      <c r="F1163" s="51">
        <v>44993.301354166702</v>
      </c>
      <c r="G1163" s="51">
        <v>44993.3046412037</v>
      </c>
      <c r="H1163" s="52">
        <v>2.9861111111109998E-3</v>
      </c>
      <c r="I1163">
        <v>7.2325000762939453</v>
      </c>
      <c r="J1163">
        <v>7270.2334815077702</v>
      </c>
      <c r="K1163">
        <v>100.168187545865</v>
      </c>
    </row>
    <row r="1164" spans="1:11" x14ac:dyDescent="0.25">
      <c r="A1164" t="str">
        <f>VLOOKUP(C1164,'[2]Ensaio 1'!$A$2:$E$28,5,FALSE)</f>
        <v>Control</v>
      </c>
      <c r="B1164">
        <f>VLOOKUP(C1164,'[2]Ensaio 1'!$A$2:$F$28,6,FALSE)</f>
        <v>3</v>
      </c>
      <c r="C1164" s="36">
        <v>900248002084626</v>
      </c>
      <c r="D1164" s="36">
        <v>900248002084626</v>
      </c>
      <c r="E1164" s="1">
        <f t="shared" si="18"/>
        <v>44993</v>
      </c>
      <c r="F1164" s="51">
        <v>44993.328738425902</v>
      </c>
      <c r="G1164" s="51">
        <v>44993.331678240698</v>
      </c>
      <c r="H1164" s="52">
        <v>2.8935185185190002E-3</v>
      </c>
      <c r="I1164">
        <v>7.8897223472595206</v>
      </c>
      <c r="J1164">
        <v>9223.6939124140008</v>
      </c>
      <c r="K1164">
        <v>99.280203446270207</v>
      </c>
    </row>
    <row r="1165" spans="1:11" x14ac:dyDescent="0.25">
      <c r="A1165" t="str">
        <f>VLOOKUP(C1165,'[2]Ensaio 1'!$A$2:$E$28,5,FALSE)</f>
        <v>Control</v>
      </c>
      <c r="B1165">
        <f>VLOOKUP(C1165,'[2]Ensaio 1'!$A$2:$F$28,6,FALSE)</f>
        <v>3</v>
      </c>
      <c r="C1165" s="36">
        <v>960000003827766</v>
      </c>
      <c r="D1165" s="36">
        <v>960000003827766</v>
      </c>
      <c r="E1165" s="1">
        <f t="shared" si="18"/>
        <v>44993</v>
      </c>
      <c r="F1165" s="51">
        <v>44993.504340277803</v>
      </c>
      <c r="G1165" s="51">
        <v>44993.507256944402</v>
      </c>
      <c r="H1165" s="52">
        <v>2.673611111111E-3</v>
      </c>
      <c r="I1165">
        <v>12.104166984558105</v>
      </c>
      <c r="J1165">
        <v>9763.3844441513702</v>
      </c>
      <c r="K1165">
        <v>119.53083773259</v>
      </c>
    </row>
    <row r="1166" spans="1:11" x14ac:dyDescent="0.25">
      <c r="A1166" t="str">
        <f>VLOOKUP(C1166,'[2]Ensaio 1'!$A$2:$E$28,5,FALSE)</f>
        <v>Control</v>
      </c>
      <c r="B1166">
        <f>VLOOKUP(C1166,'[2]Ensaio 1'!$A$2:$F$28,6,FALSE)</f>
        <v>3</v>
      </c>
      <c r="C1166" s="36">
        <v>960000003608633</v>
      </c>
      <c r="D1166" s="36">
        <v>960000003608633</v>
      </c>
      <c r="E1166" s="1">
        <f t="shared" si="18"/>
        <v>44993</v>
      </c>
      <c r="F1166" s="51">
        <v>44993.513784722199</v>
      </c>
      <c r="G1166" s="51">
        <v>44993.517175925903</v>
      </c>
      <c r="H1166" s="52">
        <v>3.1250000000000002E-3</v>
      </c>
      <c r="I1166">
        <v>12.330833435058594</v>
      </c>
      <c r="J1166">
        <v>9399.1499376663905</v>
      </c>
      <c r="K1166">
        <v>94.667454773128995</v>
      </c>
    </row>
    <row r="1167" spans="1:11" x14ac:dyDescent="0.25">
      <c r="A1167" t="str">
        <f>VLOOKUP(C1167,'[2]Ensaio 1'!$A$2:$E$28,5,FALSE)</f>
        <v>Control</v>
      </c>
      <c r="B1167">
        <f>VLOOKUP(C1167,'[2]Ensaio 1'!$A$2:$F$28,6,FALSE)</f>
        <v>3</v>
      </c>
      <c r="C1167" s="36">
        <v>960000003664778</v>
      </c>
      <c r="D1167" s="36">
        <v>960000003664778</v>
      </c>
      <c r="E1167" s="1">
        <f t="shared" si="18"/>
        <v>44993</v>
      </c>
      <c r="F1167" s="51">
        <v>44993.530509259297</v>
      </c>
      <c r="G1167" s="51">
        <v>44993.533622685201</v>
      </c>
      <c r="H1167" s="52">
        <v>3.0555555555559998E-3</v>
      </c>
      <c r="I1167">
        <v>12.732222557067871</v>
      </c>
      <c r="J1167">
        <v>8898.0059272527797</v>
      </c>
      <c r="K1167">
        <v>121.308222829008</v>
      </c>
    </row>
    <row r="1168" spans="1:11" x14ac:dyDescent="0.25">
      <c r="A1168" t="str">
        <f>VLOOKUP(C1168,'[2]Ensaio 1'!$A$2:$E$28,5,FALSE)</f>
        <v>Control</v>
      </c>
      <c r="B1168">
        <f>VLOOKUP(C1168,'[2]Ensaio 1'!$A$2:$F$28,6,FALSE)</f>
        <v>3</v>
      </c>
      <c r="C1168" s="36">
        <v>960000003688522</v>
      </c>
      <c r="D1168" s="36">
        <v>960000003688522</v>
      </c>
      <c r="E1168" s="1">
        <f t="shared" si="18"/>
        <v>44993</v>
      </c>
      <c r="F1168" s="51">
        <v>44993.536261574103</v>
      </c>
      <c r="G1168" s="51">
        <v>44993.539571759298</v>
      </c>
      <c r="H1168" s="52">
        <v>3.1250000000000002E-3</v>
      </c>
      <c r="I1168">
        <v>12.870277404785156</v>
      </c>
      <c r="J1168">
        <v>7664.20194879882</v>
      </c>
      <c r="K1168">
        <v>132.566198541684</v>
      </c>
    </row>
    <row r="1169" spans="1:11" x14ac:dyDescent="0.25">
      <c r="A1169" t="str">
        <f>VLOOKUP(C1169,'[2]Ensaio 1'!$A$2:$E$28,5,FALSE)</f>
        <v>Control</v>
      </c>
      <c r="B1169">
        <f>VLOOKUP(C1169,'[2]Ensaio 1'!$A$2:$F$28,6,FALSE)</f>
        <v>3</v>
      </c>
      <c r="C1169" s="36">
        <v>900248002084626</v>
      </c>
      <c r="D1169" s="36">
        <v>900248002084626</v>
      </c>
      <c r="E1169" s="1">
        <f t="shared" si="18"/>
        <v>44993</v>
      </c>
      <c r="F1169" s="51">
        <v>44993.712581018503</v>
      </c>
      <c r="G1169" s="51">
        <v>44993.716087963003</v>
      </c>
      <c r="H1169" s="52">
        <v>3.4375E-3</v>
      </c>
      <c r="I1169">
        <v>17.101943969726563</v>
      </c>
      <c r="J1169">
        <v>10422.359825031999</v>
      </c>
      <c r="K1169">
        <v>136.28781054151401</v>
      </c>
    </row>
    <row r="1170" spans="1:11" x14ac:dyDescent="0.25">
      <c r="A1170" t="str">
        <f>VLOOKUP(C1170,'[2]Ensaio 1'!$A$2:$E$28,5,FALSE)</f>
        <v>Control</v>
      </c>
      <c r="B1170">
        <f>VLOOKUP(C1170,'[2]Ensaio 1'!$A$2:$F$28,6,FALSE)</f>
        <v>3</v>
      </c>
      <c r="C1170" s="36">
        <v>960000003664778</v>
      </c>
      <c r="D1170" s="36">
        <v>960000003664778</v>
      </c>
      <c r="E1170" s="1">
        <f t="shared" si="18"/>
        <v>44993</v>
      </c>
      <c r="F1170" s="51">
        <v>44993.756990740701</v>
      </c>
      <c r="G1170" s="51">
        <v>44993.759976851798</v>
      </c>
      <c r="H1170" s="52">
        <v>2.939814814815E-3</v>
      </c>
      <c r="I1170">
        <v>18.167778015136719</v>
      </c>
      <c r="J1170">
        <v>10585.251879461101</v>
      </c>
      <c r="K1170">
        <v>185.162461127521</v>
      </c>
    </row>
    <row r="1171" spans="1:11" x14ac:dyDescent="0.25">
      <c r="A1171" t="str">
        <f>VLOOKUP(C1171,'[2]Ensaio 1'!$A$2:$E$28,5,FALSE)</f>
        <v>Control</v>
      </c>
      <c r="B1171">
        <f>VLOOKUP(C1171,'[2]Ensaio 1'!$A$2:$F$28,6,FALSE)</f>
        <v>3</v>
      </c>
      <c r="C1171" s="36">
        <v>960000003608633</v>
      </c>
      <c r="D1171" s="36">
        <v>960000003608633</v>
      </c>
      <c r="E1171" s="1">
        <f t="shared" si="18"/>
        <v>44993</v>
      </c>
      <c r="F1171" s="51">
        <v>44993.7649537037</v>
      </c>
      <c r="G1171" s="51">
        <v>44993.768414351798</v>
      </c>
      <c r="H1171" s="52">
        <v>3.3796296296299999E-3</v>
      </c>
      <c r="I1171">
        <v>18.358888626098633</v>
      </c>
      <c r="J1171">
        <v>11180.9266876208</v>
      </c>
      <c r="K1171">
        <v>173.460595436311</v>
      </c>
    </row>
    <row r="1172" spans="1:11" x14ac:dyDescent="0.25">
      <c r="A1172" t="str">
        <f>VLOOKUP(C1172,'[2]Ensaio 1'!$A$2:$E$28,5,FALSE)</f>
        <v>Control</v>
      </c>
      <c r="B1172">
        <f>VLOOKUP(C1172,'[2]Ensaio 1'!$A$2:$F$28,6,FALSE)</f>
        <v>3</v>
      </c>
      <c r="C1172" s="36">
        <v>960000003688522</v>
      </c>
      <c r="D1172" s="36">
        <v>960000003688522</v>
      </c>
      <c r="E1172" s="1">
        <f t="shared" si="18"/>
        <v>44993</v>
      </c>
      <c r="F1172" s="51">
        <v>44993.776145833297</v>
      </c>
      <c r="G1172" s="51">
        <v>44993.779837962997</v>
      </c>
      <c r="H1172" s="52">
        <v>3.2523148148149998E-3</v>
      </c>
      <c r="I1172">
        <v>18.627500534057617</v>
      </c>
      <c r="J1172">
        <v>8580.0349005940207</v>
      </c>
      <c r="K1172">
        <v>122.243659119604</v>
      </c>
    </row>
    <row r="1173" spans="1:11" x14ac:dyDescent="0.25">
      <c r="A1173" t="str">
        <f>VLOOKUP(C1173,'[2]Ensaio 1'!$A$2:$E$28,5,FALSE)</f>
        <v>Control</v>
      </c>
      <c r="B1173">
        <f>VLOOKUP(C1173,'[2]Ensaio 1'!$A$2:$F$28,6,FALSE)</f>
        <v>3</v>
      </c>
      <c r="C1173" s="36">
        <v>960000003827766</v>
      </c>
      <c r="D1173" s="36">
        <v>960000003827766</v>
      </c>
      <c r="E1173" s="1">
        <f t="shared" si="18"/>
        <v>44993</v>
      </c>
      <c r="F1173" s="51">
        <v>44993.786805555603</v>
      </c>
      <c r="G1173" s="51">
        <v>44993.789745370399</v>
      </c>
      <c r="H1173" s="52">
        <v>2.6967592592590001E-3</v>
      </c>
      <c r="I1173">
        <v>18.883333206176758</v>
      </c>
      <c r="J1173">
        <v>10529.5471523956</v>
      </c>
      <c r="K1173">
        <v>117.952798526257</v>
      </c>
    </row>
    <row r="1174" spans="1:11" x14ac:dyDescent="0.25">
      <c r="A1174" t="str">
        <f>VLOOKUP(C1174,'[2]Ensaio 1'!$A$2:$E$28,5,FALSE)</f>
        <v>Control</v>
      </c>
      <c r="B1174">
        <f>VLOOKUP(C1174,'[2]Ensaio 1'!$A$2:$F$28,6,FALSE)</f>
        <v>3</v>
      </c>
      <c r="C1174" s="36">
        <v>960000003664778</v>
      </c>
      <c r="D1174" s="36">
        <v>960000003664778</v>
      </c>
      <c r="E1174" s="1">
        <f t="shared" si="18"/>
        <v>44993</v>
      </c>
      <c r="F1174" s="51">
        <v>44993.998506944401</v>
      </c>
      <c r="G1174" s="51">
        <v>44994.002893518496</v>
      </c>
      <c r="H1174" s="52">
        <v>4.3171296296300003E-3</v>
      </c>
      <c r="I1174">
        <v>23.964166641235352</v>
      </c>
      <c r="J1174">
        <v>10099.6441026457</v>
      </c>
      <c r="K1174">
        <v>104.733843737992</v>
      </c>
    </row>
    <row r="1175" spans="1:11" x14ac:dyDescent="0.25">
      <c r="A1175" t="str">
        <f>VLOOKUP(C1175,'[2]Ensaio 1'!$A$2:$E$28,5,FALSE)</f>
        <v>Control</v>
      </c>
      <c r="B1175">
        <f>VLOOKUP(C1175,'[2]Ensaio 1'!$A$2:$F$28,6,FALSE)</f>
        <v>3</v>
      </c>
      <c r="C1175" s="36">
        <v>900248002084626</v>
      </c>
      <c r="D1175" s="36">
        <v>900248002084626</v>
      </c>
      <c r="E1175" s="1">
        <f t="shared" si="18"/>
        <v>44994</v>
      </c>
      <c r="F1175" s="51">
        <v>44994.015474537002</v>
      </c>
      <c r="G1175" s="51">
        <v>44994.019398148099</v>
      </c>
      <c r="H1175" s="52">
        <v>3.634259259259E-3</v>
      </c>
      <c r="I1175">
        <v>0.37138888239860501</v>
      </c>
      <c r="J1175">
        <v>9833.6193015285608</v>
      </c>
      <c r="K1175">
        <v>54.453356830561901</v>
      </c>
    </row>
    <row r="1176" spans="1:11" x14ac:dyDescent="0.25">
      <c r="A1176" t="str">
        <f>VLOOKUP(C1176,'[2]Ensaio 1'!$A$2:$E$28,5,FALSE)</f>
        <v>Control</v>
      </c>
      <c r="B1176">
        <f>VLOOKUP(C1176,'[2]Ensaio 1'!$A$2:$F$28,6,FALSE)</f>
        <v>3</v>
      </c>
      <c r="C1176" s="36">
        <v>960000003688522</v>
      </c>
      <c r="D1176" s="36">
        <v>960000003688522</v>
      </c>
      <c r="E1176" s="1">
        <f t="shared" si="18"/>
        <v>44994</v>
      </c>
      <c r="F1176" s="51">
        <v>44994.077685185199</v>
      </c>
      <c r="G1176" s="51">
        <v>44994.081018518496</v>
      </c>
      <c r="H1176" s="52">
        <v>3.0555555555559998E-3</v>
      </c>
      <c r="I1176">
        <v>1.864444494247437</v>
      </c>
      <c r="J1176">
        <v>8918.8185822877003</v>
      </c>
      <c r="K1176">
        <v>120.023724130803</v>
      </c>
    </row>
    <row r="1177" spans="1:11" x14ac:dyDescent="0.25">
      <c r="A1177" t="str">
        <f>VLOOKUP(C1177,'[2]Ensaio 1'!$A$2:$E$28,5,FALSE)</f>
        <v>Control</v>
      </c>
      <c r="B1177">
        <f>VLOOKUP(C1177,'[2]Ensaio 1'!$A$2:$F$28,6,FALSE)</f>
        <v>3</v>
      </c>
      <c r="C1177" s="36">
        <v>960000003827766</v>
      </c>
      <c r="D1177" s="36">
        <v>960000003827766</v>
      </c>
      <c r="E1177" s="1">
        <f t="shared" si="18"/>
        <v>44994</v>
      </c>
      <c r="F1177" s="51">
        <v>44994.092638888898</v>
      </c>
      <c r="G1177" s="51">
        <v>44994.100763888899</v>
      </c>
      <c r="H1177" s="52">
        <v>7.3032407407409997E-3</v>
      </c>
      <c r="I1177">
        <v>2.223333358764648</v>
      </c>
      <c r="J1177">
        <v>10586.9676313372</v>
      </c>
      <c r="K1177">
        <v>119.988707553849</v>
      </c>
    </row>
    <row r="1178" spans="1:11" x14ac:dyDescent="0.25">
      <c r="A1178" t="str">
        <f>VLOOKUP(C1178,'[2]Ensaio 1'!$A$2:$E$28,5,FALSE)</f>
        <v>Control</v>
      </c>
      <c r="B1178">
        <f>VLOOKUP(C1178,'[2]Ensaio 1'!$A$2:$F$28,6,FALSE)</f>
        <v>3</v>
      </c>
      <c r="C1178" s="36">
        <v>960000003664778</v>
      </c>
      <c r="D1178" s="36">
        <v>960000003664778</v>
      </c>
      <c r="E1178" s="1">
        <f t="shared" si="18"/>
        <v>44994</v>
      </c>
      <c r="F1178" s="51">
        <v>44994.222500000003</v>
      </c>
      <c r="G1178" s="51">
        <v>44994.225243055596</v>
      </c>
      <c r="H1178" s="52">
        <v>2.6851851851849998E-3</v>
      </c>
      <c r="I1178">
        <v>5.3400001525878906</v>
      </c>
      <c r="J1178">
        <v>8337.3388010869494</v>
      </c>
      <c r="K1178">
        <v>72.033976188953105</v>
      </c>
    </row>
    <row r="1179" spans="1:11" x14ac:dyDescent="0.25">
      <c r="A1179" t="str">
        <f>VLOOKUP(C1179,'[2]Ensaio 1'!$A$2:$E$28,5,FALSE)</f>
        <v>Control</v>
      </c>
      <c r="B1179">
        <f>VLOOKUP(C1179,'[2]Ensaio 1'!$A$2:$F$28,6,FALSE)</f>
        <v>3</v>
      </c>
      <c r="C1179" s="36">
        <v>900248002084626</v>
      </c>
      <c r="D1179" s="36">
        <v>900248002084626</v>
      </c>
      <c r="E1179" s="1">
        <f t="shared" si="18"/>
        <v>44994</v>
      </c>
      <c r="F1179" s="51">
        <v>44994.301284722198</v>
      </c>
      <c r="G1179" s="51">
        <v>44994.309548611098</v>
      </c>
      <c r="H1179" s="52">
        <v>7.210648148148E-3</v>
      </c>
      <c r="I1179">
        <v>7.2308335304260254</v>
      </c>
      <c r="J1179">
        <v>9100.8973269841408</v>
      </c>
      <c r="K1179">
        <v>123.50152796158299</v>
      </c>
    </row>
    <row r="1180" spans="1:11" x14ac:dyDescent="0.25">
      <c r="A1180" t="str">
        <f>VLOOKUP(C1180,'[2]Ensaio 1'!$A$2:$E$28,5,FALSE)</f>
        <v>Control</v>
      </c>
      <c r="B1180">
        <f>VLOOKUP(C1180,'[2]Ensaio 1'!$A$2:$F$28,6,FALSE)</f>
        <v>3</v>
      </c>
      <c r="C1180" s="36">
        <v>960000003688522</v>
      </c>
      <c r="D1180" s="36">
        <v>960000003688522</v>
      </c>
      <c r="E1180" s="1">
        <f t="shared" si="18"/>
        <v>44994</v>
      </c>
      <c r="F1180" s="51">
        <v>44994.335243055597</v>
      </c>
      <c r="G1180" s="51">
        <v>44994.338726851798</v>
      </c>
      <c r="H1180" s="52">
        <v>2.974537037037E-3</v>
      </c>
      <c r="I1180">
        <v>8.0458335876464844</v>
      </c>
      <c r="J1180">
        <v>7600.5943029279697</v>
      </c>
      <c r="K1180">
        <v>132.06940529341</v>
      </c>
    </row>
    <row r="1181" spans="1:11" x14ac:dyDescent="0.25">
      <c r="A1181" t="str">
        <f>VLOOKUP(C1181,'[2]Ensaio 1'!$A$2:$E$28,5,FALSE)</f>
        <v>Control</v>
      </c>
      <c r="B1181">
        <f>VLOOKUP(C1181,'[2]Ensaio 1'!$A$2:$F$28,6,FALSE)</f>
        <v>3</v>
      </c>
      <c r="C1181" s="36">
        <v>960000003608633</v>
      </c>
      <c r="D1181" s="36">
        <v>960000003608633</v>
      </c>
      <c r="E1181" s="1">
        <f t="shared" si="18"/>
        <v>44994</v>
      </c>
      <c r="F1181" s="51">
        <v>44994.3847916667</v>
      </c>
      <c r="G1181" s="51">
        <v>44994.387835648202</v>
      </c>
      <c r="H1181" s="52">
        <v>2.939814814815E-3</v>
      </c>
      <c r="I1181">
        <v>9.2349996566772461</v>
      </c>
      <c r="J1181">
        <v>10032.498558974001</v>
      </c>
      <c r="K1181">
        <v>155.80394332637999</v>
      </c>
    </row>
    <row r="1182" spans="1:11" x14ac:dyDescent="0.25">
      <c r="A1182" t="str">
        <f>VLOOKUP(C1182,'[2]Ensaio 1'!$A$2:$E$28,5,FALSE)</f>
        <v>Control</v>
      </c>
      <c r="B1182">
        <f>VLOOKUP(C1182,'[2]Ensaio 1'!$A$2:$F$28,6,FALSE)</f>
        <v>3</v>
      </c>
      <c r="C1182" s="36">
        <v>960000003827766</v>
      </c>
      <c r="D1182" s="36">
        <v>960000003827766</v>
      </c>
      <c r="E1182" s="1">
        <f t="shared" si="18"/>
        <v>44994</v>
      </c>
      <c r="F1182" s="51">
        <v>44994.403437499997</v>
      </c>
      <c r="G1182" s="51">
        <v>44994.407071759299</v>
      </c>
      <c r="H1182" s="52">
        <v>2.731481481481E-3</v>
      </c>
      <c r="I1182">
        <v>9.682499885559082</v>
      </c>
      <c r="J1182">
        <v>8626.1369636060408</v>
      </c>
      <c r="K1182">
        <v>74.9943785526075</v>
      </c>
    </row>
    <row r="1183" spans="1:11" x14ac:dyDescent="0.25">
      <c r="A1183" t="str">
        <f>VLOOKUP(C1183,'[2]Ensaio 1'!$A$2:$E$28,5,FALSE)</f>
        <v>Control</v>
      </c>
      <c r="B1183">
        <f>VLOOKUP(C1183,'[2]Ensaio 1'!$A$2:$F$28,6,FALSE)</f>
        <v>3</v>
      </c>
      <c r="C1183" s="36">
        <v>960000003664778</v>
      </c>
      <c r="D1183" s="36">
        <v>960000003664778</v>
      </c>
      <c r="E1183" s="1">
        <f t="shared" si="18"/>
        <v>44994</v>
      </c>
      <c r="F1183" s="51">
        <v>44994.554467592599</v>
      </c>
      <c r="G1183" s="51">
        <v>44994.556770833296</v>
      </c>
      <c r="H1183" s="52">
        <v>2.2800925925929999E-3</v>
      </c>
      <c r="I1183">
        <v>13.307222366333008</v>
      </c>
      <c r="J1183">
        <v>9031.6094525253902</v>
      </c>
      <c r="K1183">
        <v>115.431192810919</v>
      </c>
    </row>
    <row r="1184" spans="1:11" x14ac:dyDescent="0.25">
      <c r="A1184" t="str">
        <f>VLOOKUP(C1184,'[2]Ensaio 1'!$A$2:$E$28,5,FALSE)</f>
        <v>Control</v>
      </c>
      <c r="B1184">
        <f>VLOOKUP(C1184,'[2]Ensaio 1'!$A$2:$F$28,6,FALSE)</f>
        <v>3</v>
      </c>
      <c r="C1184" s="36">
        <v>900248002084626</v>
      </c>
      <c r="D1184" s="36">
        <v>900248002084626</v>
      </c>
      <c r="E1184" s="1">
        <f t="shared" si="18"/>
        <v>44994</v>
      </c>
      <c r="F1184" s="51">
        <v>44994.615601851903</v>
      </c>
      <c r="G1184" s="51">
        <v>44994.618460648097</v>
      </c>
      <c r="H1184" s="52">
        <v>2.7083333333329999E-3</v>
      </c>
      <c r="I1184">
        <v>14.774444580078125</v>
      </c>
      <c r="J1184">
        <v>10084.275931234</v>
      </c>
      <c r="K1184">
        <v>122.115416599121</v>
      </c>
    </row>
    <row r="1185" spans="1:11" x14ac:dyDescent="0.25">
      <c r="A1185" t="str">
        <f>VLOOKUP(C1185,'[2]Ensaio 1'!$A$2:$E$28,5,FALSE)</f>
        <v>Control</v>
      </c>
      <c r="B1185">
        <f>VLOOKUP(C1185,'[2]Ensaio 1'!$A$2:$F$28,6,FALSE)</f>
        <v>3</v>
      </c>
      <c r="C1185" s="36">
        <v>960000003827766</v>
      </c>
      <c r="D1185" s="36">
        <v>960000003827766</v>
      </c>
      <c r="E1185" s="1">
        <f t="shared" si="18"/>
        <v>44994</v>
      </c>
      <c r="F1185" s="51">
        <v>44994.634375000001</v>
      </c>
      <c r="G1185" s="51">
        <v>44994.638912037</v>
      </c>
      <c r="H1185" s="52">
        <v>4.143518518519E-3</v>
      </c>
      <c r="I1185">
        <v>15.225000381469727</v>
      </c>
      <c r="J1185">
        <v>7318.4863585942503</v>
      </c>
      <c r="K1185">
        <v>110.015406819654</v>
      </c>
    </row>
    <row r="1186" spans="1:11" x14ac:dyDescent="0.25">
      <c r="A1186" t="str">
        <f>VLOOKUP(C1186,'[2]Ensaio 1'!$A$2:$E$28,5,FALSE)</f>
        <v>Control</v>
      </c>
      <c r="B1186">
        <f>VLOOKUP(C1186,'[2]Ensaio 1'!$A$2:$F$28,6,FALSE)</f>
        <v>3</v>
      </c>
      <c r="C1186" s="36">
        <v>960000003688522</v>
      </c>
      <c r="D1186" s="36">
        <v>960000003688522</v>
      </c>
      <c r="E1186" s="1">
        <f t="shared" si="18"/>
        <v>44994</v>
      </c>
      <c r="F1186" s="51">
        <v>44994.706006944398</v>
      </c>
      <c r="G1186" s="51">
        <v>44994.7090509259</v>
      </c>
      <c r="H1186" s="52">
        <v>2.6851851851849998E-3</v>
      </c>
      <c r="I1186">
        <v>16.94416618347168</v>
      </c>
      <c r="J1186">
        <v>7369.9967784037599</v>
      </c>
      <c r="K1186">
        <v>124.73472375044599</v>
      </c>
    </row>
    <row r="1187" spans="1:11" x14ac:dyDescent="0.25">
      <c r="A1187" t="str">
        <f>VLOOKUP(C1187,'[2]Ensaio 1'!$A$2:$E$28,5,FALSE)</f>
        <v>Control</v>
      </c>
      <c r="B1187">
        <f>VLOOKUP(C1187,'[2]Ensaio 1'!$A$2:$F$28,6,FALSE)</f>
        <v>3</v>
      </c>
      <c r="C1187" s="36">
        <v>960000003608633</v>
      </c>
      <c r="D1187" s="36">
        <v>960000003608633</v>
      </c>
      <c r="E1187" s="1">
        <f t="shared" si="18"/>
        <v>44994</v>
      </c>
      <c r="F1187" s="51">
        <v>44994.793252314797</v>
      </c>
      <c r="G1187" s="51">
        <v>44994.7966087963</v>
      </c>
      <c r="H1187" s="52">
        <v>3.2986111111110001E-3</v>
      </c>
      <c r="I1187">
        <v>19.038055419921875</v>
      </c>
      <c r="J1187">
        <v>11327.874294409399</v>
      </c>
      <c r="K1187">
        <v>161.86899487662399</v>
      </c>
    </row>
    <row r="1188" spans="1:11" x14ac:dyDescent="0.25">
      <c r="A1188" t="str">
        <f>VLOOKUP(C1188,'[2]Ensaio 1'!$A$2:$E$28,5,FALSE)</f>
        <v>Control</v>
      </c>
      <c r="B1188">
        <f>VLOOKUP(C1188,'[2]Ensaio 1'!$A$2:$F$28,6,FALSE)</f>
        <v>3</v>
      </c>
      <c r="C1188" s="36">
        <v>900248002084626</v>
      </c>
      <c r="D1188" s="36">
        <v>900248002084626</v>
      </c>
      <c r="E1188" s="1">
        <f t="shared" si="18"/>
        <v>44994</v>
      </c>
      <c r="F1188" s="51">
        <v>44994.834421296298</v>
      </c>
      <c r="G1188" s="51">
        <v>44994.836909722202</v>
      </c>
      <c r="H1188" s="52">
        <v>2.44212962963E-3</v>
      </c>
      <c r="I1188">
        <v>20.026111602783203</v>
      </c>
      <c r="J1188">
        <v>12090.2470747601</v>
      </c>
      <c r="K1188">
        <v>166.19030185165701</v>
      </c>
    </row>
    <row r="1189" spans="1:11" x14ac:dyDescent="0.25">
      <c r="A1189" t="str">
        <f>VLOOKUP(C1189,'[2]Ensaio 1'!$A$2:$E$28,5,FALSE)</f>
        <v>Control</v>
      </c>
      <c r="B1189">
        <f>VLOOKUP(C1189,'[2]Ensaio 1'!$A$2:$F$28,6,FALSE)</f>
        <v>3</v>
      </c>
      <c r="C1189" s="36">
        <v>960000003664778</v>
      </c>
      <c r="D1189" s="36">
        <v>960000003664778</v>
      </c>
      <c r="E1189" s="1">
        <f t="shared" si="18"/>
        <v>44994</v>
      </c>
      <c r="F1189" s="51">
        <v>44994.959988425901</v>
      </c>
      <c r="G1189" s="51">
        <v>44994.963888888902</v>
      </c>
      <c r="H1189" s="52">
        <v>3.6458333333329999E-3</v>
      </c>
      <c r="I1189">
        <v>23.039722442626953</v>
      </c>
      <c r="J1189">
        <v>9044.4801597183105</v>
      </c>
      <c r="K1189">
        <v>108.32385214925201</v>
      </c>
    </row>
    <row r="1190" spans="1:11" x14ac:dyDescent="0.25">
      <c r="A1190" t="str">
        <f>VLOOKUP(C1190,'[2]Ensaio 1'!$A$2:$E$28,5,FALSE)</f>
        <v>Control</v>
      </c>
      <c r="B1190">
        <f>VLOOKUP(C1190,'[2]Ensaio 1'!$A$2:$F$28,6,FALSE)</f>
        <v>3</v>
      </c>
      <c r="C1190" s="36">
        <v>960000003827766</v>
      </c>
      <c r="D1190" s="36">
        <v>960000003827766</v>
      </c>
      <c r="E1190" s="1">
        <f t="shared" si="18"/>
        <v>44994</v>
      </c>
      <c r="F1190" s="51">
        <v>44994.967465277798</v>
      </c>
      <c r="G1190" s="51">
        <v>44994.970902777801</v>
      </c>
      <c r="H1190" s="52">
        <v>2.2916666666670002E-3</v>
      </c>
      <c r="I1190">
        <v>23.219165802001953</v>
      </c>
      <c r="J1190">
        <v>10475.750789489401</v>
      </c>
      <c r="K1190">
        <v>127.111095333332</v>
      </c>
    </row>
    <row r="1191" spans="1:11" x14ac:dyDescent="0.25">
      <c r="A1191" t="str">
        <f>VLOOKUP(C1191,'[2]Ensaio 1'!$A$2:$E$28,5,FALSE)</f>
        <v>Control</v>
      </c>
      <c r="B1191">
        <f>VLOOKUP(C1191,'[2]Ensaio 1'!$A$2:$F$28,6,FALSE)</f>
        <v>3</v>
      </c>
      <c r="C1191" s="36">
        <v>960000003664778</v>
      </c>
      <c r="D1191" s="36">
        <v>960000003664778</v>
      </c>
      <c r="E1191" s="1">
        <f t="shared" si="18"/>
        <v>44995</v>
      </c>
      <c r="F1191" s="51">
        <v>44995.002592592602</v>
      </c>
      <c r="G1191" s="51">
        <v>44995.005798611099</v>
      </c>
      <c r="H1191" s="52">
        <v>3.136574074074E-3</v>
      </c>
      <c r="I1191">
        <v>6.2222223728895E-2</v>
      </c>
      <c r="J1191">
        <v>12671.0597646072</v>
      </c>
      <c r="K1191">
        <v>220.79965691192299</v>
      </c>
    </row>
    <row r="1192" spans="1:11" x14ac:dyDescent="0.25">
      <c r="A1192" t="str">
        <f>VLOOKUP(C1192,'[2]Ensaio 1'!$A$2:$E$28,5,FALSE)</f>
        <v>Control</v>
      </c>
      <c r="B1192">
        <f>VLOOKUP(C1192,'[2]Ensaio 1'!$A$2:$F$28,6,FALSE)</f>
        <v>3</v>
      </c>
      <c r="C1192" s="36">
        <v>960000003827766</v>
      </c>
      <c r="D1192" s="36">
        <v>960000003827766</v>
      </c>
      <c r="E1192" s="1">
        <f t="shared" si="18"/>
        <v>44995</v>
      </c>
      <c r="F1192" s="51">
        <v>44995.018726851798</v>
      </c>
      <c r="G1192" s="51">
        <v>44995.021944444401</v>
      </c>
      <c r="H1192" s="52">
        <v>2.9282407407410001E-3</v>
      </c>
      <c r="I1192">
        <v>0.44944444298744202</v>
      </c>
      <c r="J1192">
        <v>10271.4963129881</v>
      </c>
      <c r="K1192">
        <v>190.45156515444199</v>
      </c>
    </row>
    <row r="1193" spans="1:11" x14ac:dyDescent="0.25">
      <c r="A1193" t="str">
        <f>VLOOKUP(C1193,'[2]Ensaio 1'!$A$2:$E$28,5,FALSE)</f>
        <v>Control</v>
      </c>
      <c r="B1193">
        <f>VLOOKUP(C1193,'[2]Ensaio 1'!$A$2:$F$28,6,FALSE)</f>
        <v>3</v>
      </c>
      <c r="C1193" s="36">
        <v>960000003608633</v>
      </c>
      <c r="D1193" s="36">
        <v>960000003608633</v>
      </c>
      <c r="E1193" s="1">
        <f t="shared" si="18"/>
        <v>44995</v>
      </c>
      <c r="F1193" s="51">
        <v>44995.103217592601</v>
      </c>
      <c r="G1193" s="51">
        <v>44995.106122685203</v>
      </c>
      <c r="H1193" s="52">
        <v>2.8587962962960001E-3</v>
      </c>
      <c r="I1193">
        <v>2.477222204208374</v>
      </c>
      <c r="J1193">
        <v>10320.0463114009</v>
      </c>
      <c r="K1193">
        <v>147.00999778384499</v>
      </c>
    </row>
    <row r="1194" spans="1:11" x14ac:dyDescent="0.25">
      <c r="A1194" t="str">
        <f>VLOOKUP(C1194,'[2]Ensaio 1'!$A$2:$E$28,5,FALSE)</f>
        <v>Control</v>
      </c>
      <c r="B1194">
        <f>VLOOKUP(C1194,'[2]Ensaio 1'!$A$2:$F$28,6,FALSE)</f>
        <v>3</v>
      </c>
      <c r="C1194" s="36">
        <v>900248002084626</v>
      </c>
      <c r="D1194" s="36">
        <v>900248002084626</v>
      </c>
      <c r="E1194" s="1">
        <f t="shared" si="18"/>
        <v>44995</v>
      </c>
      <c r="F1194" s="51">
        <v>44995.1659490741</v>
      </c>
      <c r="G1194" s="51">
        <v>44995.168854166703</v>
      </c>
      <c r="H1194" s="52">
        <v>2.8009259259260001E-3</v>
      </c>
      <c r="I1194">
        <v>3.9827778339385991</v>
      </c>
      <c r="J1194">
        <v>10370.242214026899</v>
      </c>
      <c r="K1194">
        <v>124.216486888841</v>
      </c>
    </row>
    <row r="1195" spans="1:11" x14ac:dyDescent="0.25">
      <c r="A1195" t="str">
        <f>VLOOKUP(C1195,'[2]Ensaio 1'!$A$2:$E$28,5,FALSE)</f>
        <v>Control</v>
      </c>
      <c r="B1195">
        <f>VLOOKUP(C1195,'[2]Ensaio 1'!$A$2:$F$28,6,FALSE)</f>
        <v>3</v>
      </c>
      <c r="C1195" s="36">
        <v>960000003688522</v>
      </c>
      <c r="D1195" s="36">
        <v>960000003688522</v>
      </c>
      <c r="E1195" s="1">
        <f t="shared" si="18"/>
        <v>44995</v>
      </c>
      <c r="F1195" s="51">
        <v>44995.261539351799</v>
      </c>
      <c r="G1195" s="51">
        <v>44995.264189814799</v>
      </c>
      <c r="H1195" s="52">
        <v>2.5462962962959999E-3</v>
      </c>
      <c r="I1195">
        <v>6.276944637298584</v>
      </c>
      <c r="J1195">
        <v>6652.7215124145296</v>
      </c>
      <c r="K1195">
        <v>92.928588028606001</v>
      </c>
    </row>
    <row r="1196" spans="1:11" x14ac:dyDescent="0.25">
      <c r="A1196" t="str">
        <f>VLOOKUP(C1196,'[2]Ensaio 1'!$A$2:$E$28,5,FALSE)</f>
        <v>Control</v>
      </c>
      <c r="B1196">
        <f>VLOOKUP(C1196,'[2]Ensaio 1'!$A$2:$F$28,6,FALSE)</f>
        <v>3</v>
      </c>
      <c r="C1196" s="36">
        <v>960000003827766</v>
      </c>
      <c r="D1196" s="36">
        <v>960000003827766</v>
      </c>
      <c r="E1196" s="1">
        <f t="shared" si="18"/>
        <v>44995</v>
      </c>
      <c r="F1196" s="51">
        <v>44995.281041666698</v>
      </c>
      <c r="G1196" s="51">
        <v>44995.283599536997</v>
      </c>
      <c r="H1196" s="52">
        <v>2.1296296296300001E-3</v>
      </c>
      <c r="I1196">
        <v>6.744999885559082</v>
      </c>
      <c r="J1196">
        <v>10109.5369635279</v>
      </c>
      <c r="K1196">
        <v>117.45411054462799</v>
      </c>
    </row>
    <row r="1197" spans="1:11" x14ac:dyDescent="0.25">
      <c r="A1197" t="str">
        <f>VLOOKUP(C1197,'[2]Ensaio 1'!$A$2:$E$28,5,FALSE)</f>
        <v>Control</v>
      </c>
      <c r="B1197">
        <f>VLOOKUP(C1197,'[2]Ensaio 1'!$A$2:$F$28,6,FALSE)</f>
        <v>3</v>
      </c>
      <c r="C1197" s="36">
        <v>960000003664778</v>
      </c>
      <c r="D1197" s="36">
        <v>960000003664778</v>
      </c>
      <c r="E1197" s="1">
        <f t="shared" si="18"/>
        <v>44995</v>
      </c>
      <c r="F1197" s="51">
        <v>44995.293229166702</v>
      </c>
      <c r="G1197" s="51">
        <v>44995.2968287037</v>
      </c>
      <c r="H1197" s="52">
        <v>3.2870370370369998E-3</v>
      </c>
      <c r="I1197">
        <v>7.0374999046325684</v>
      </c>
      <c r="J1197">
        <v>8095.7221738312201</v>
      </c>
      <c r="K1197">
        <v>77.008023844003702</v>
      </c>
    </row>
    <row r="1198" spans="1:11" x14ac:dyDescent="0.25">
      <c r="A1198" t="str">
        <f>VLOOKUP(C1198,'[2]Ensaio 1'!$A$2:$E$28,5,FALSE)</f>
        <v>Control</v>
      </c>
      <c r="B1198">
        <f>VLOOKUP(C1198,'[2]Ensaio 1'!$A$2:$F$28,6,FALSE)</f>
        <v>3</v>
      </c>
      <c r="C1198" s="36">
        <v>960000003664778</v>
      </c>
      <c r="D1198" s="36">
        <v>960000003664778</v>
      </c>
      <c r="E1198" s="1">
        <f t="shared" si="18"/>
        <v>44995</v>
      </c>
      <c r="F1198" s="51">
        <v>44995.579351851899</v>
      </c>
      <c r="G1198" s="51">
        <v>44995.582893518498</v>
      </c>
      <c r="H1198" s="52">
        <v>3.4143518518519999E-3</v>
      </c>
      <c r="I1198">
        <v>13.904444694519043</v>
      </c>
      <c r="J1198">
        <v>8992.04626299558</v>
      </c>
      <c r="K1198">
        <v>165.15021298612501</v>
      </c>
    </row>
    <row r="1199" spans="1:11" x14ac:dyDescent="0.25">
      <c r="A1199" t="str">
        <f>VLOOKUP(C1199,'[2]Ensaio 1'!$A$2:$E$28,5,FALSE)</f>
        <v>Control</v>
      </c>
      <c r="B1199">
        <f>VLOOKUP(C1199,'[2]Ensaio 1'!$A$2:$F$28,6,FALSE)</f>
        <v>3</v>
      </c>
      <c r="C1199" s="36">
        <v>960000003827766</v>
      </c>
      <c r="D1199" s="36">
        <v>960000003827766</v>
      </c>
      <c r="E1199" s="1">
        <f t="shared" si="18"/>
        <v>44995</v>
      </c>
      <c r="F1199" s="51">
        <v>44995.6008449074</v>
      </c>
      <c r="G1199" s="51">
        <v>44995.603819444397</v>
      </c>
      <c r="H1199" s="52">
        <v>2.4189814814810002E-3</v>
      </c>
      <c r="I1199">
        <v>14.42027759552002</v>
      </c>
      <c r="J1199">
        <v>9102.7686044063303</v>
      </c>
      <c r="K1199">
        <v>136.81667127579399</v>
      </c>
    </row>
    <row r="1200" spans="1:11" x14ac:dyDescent="0.25">
      <c r="A1200" t="str">
        <f>VLOOKUP(C1200,'[2]Ensaio 1'!$A$2:$E$28,5,FALSE)</f>
        <v>Control</v>
      </c>
      <c r="B1200">
        <f>VLOOKUP(C1200,'[2]Ensaio 1'!$A$2:$F$28,6,FALSE)</f>
        <v>3</v>
      </c>
      <c r="C1200" s="36">
        <v>960000003608633</v>
      </c>
      <c r="D1200" s="36">
        <v>960000003608633</v>
      </c>
      <c r="E1200" s="1">
        <f t="shared" si="18"/>
        <v>44995</v>
      </c>
      <c r="F1200" s="51">
        <v>44995.675555555601</v>
      </c>
      <c r="G1200" s="51">
        <v>44995.679224537002</v>
      </c>
      <c r="H1200" s="52">
        <v>3.5879629629629998E-3</v>
      </c>
      <c r="I1200">
        <v>16.213333129882813</v>
      </c>
      <c r="J1200">
        <v>10619.5189028779</v>
      </c>
      <c r="K1200">
        <v>156.67070493039901</v>
      </c>
    </row>
    <row r="1201" spans="1:11" x14ac:dyDescent="0.25">
      <c r="A1201" t="str">
        <f>VLOOKUP(C1201,'[2]Ensaio 1'!$A$2:$E$28,5,FALSE)</f>
        <v>Control</v>
      </c>
      <c r="B1201">
        <f>VLOOKUP(C1201,'[2]Ensaio 1'!$A$2:$F$28,6,FALSE)</f>
        <v>3</v>
      </c>
      <c r="C1201" s="36">
        <v>960000003664778</v>
      </c>
      <c r="D1201" s="36">
        <v>960000003664778</v>
      </c>
      <c r="E1201" s="1">
        <f t="shared" si="18"/>
        <v>44995</v>
      </c>
      <c r="F1201" s="51">
        <v>44995.841608796298</v>
      </c>
      <c r="G1201" s="51">
        <v>44995.844224537002</v>
      </c>
      <c r="H1201" s="52">
        <v>2.5810185185189999E-3</v>
      </c>
      <c r="I1201">
        <v>20.198610305786133</v>
      </c>
      <c r="J1201">
        <v>10697.2520549408</v>
      </c>
      <c r="K1201">
        <v>172.68484986784799</v>
      </c>
    </row>
    <row r="1202" spans="1:11" x14ac:dyDescent="0.25">
      <c r="A1202" t="str">
        <f>VLOOKUP(C1202,'[2]Ensaio 1'!$A$2:$E$28,5,FALSE)</f>
        <v>Control</v>
      </c>
      <c r="B1202">
        <f>VLOOKUP(C1202,'[2]Ensaio 1'!$A$2:$F$28,6,FALSE)</f>
        <v>3</v>
      </c>
      <c r="C1202" s="36">
        <v>960000003827766</v>
      </c>
      <c r="D1202" s="36">
        <v>960000003827766</v>
      </c>
      <c r="E1202" s="1">
        <f t="shared" si="18"/>
        <v>44995</v>
      </c>
      <c r="F1202" s="51">
        <v>44995.916793981502</v>
      </c>
      <c r="G1202" s="51">
        <v>44995.921261574098</v>
      </c>
      <c r="H1202" s="52">
        <v>3.2175925925929999E-3</v>
      </c>
      <c r="I1202">
        <v>22.003055572509766</v>
      </c>
      <c r="J1202">
        <v>10419.690575598601</v>
      </c>
      <c r="K1202">
        <v>133.451227828675</v>
      </c>
    </row>
    <row r="1203" spans="1:11" x14ac:dyDescent="0.25">
      <c r="A1203" t="str">
        <f>VLOOKUP(C1203,'[2]Ensaio 1'!$A$2:$E$28,5,FALSE)</f>
        <v>Control</v>
      </c>
      <c r="B1203">
        <f>VLOOKUP(C1203,'[2]Ensaio 1'!$A$2:$F$28,6,FALSE)</f>
        <v>3</v>
      </c>
      <c r="C1203" s="36">
        <v>960000003608633</v>
      </c>
      <c r="D1203" s="36">
        <v>960000003608633</v>
      </c>
      <c r="E1203" s="1">
        <f t="shared" si="18"/>
        <v>44995</v>
      </c>
      <c r="F1203" s="51">
        <v>44995.953136574099</v>
      </c>
      <c r="G1203" s="51">
        <v>44995.956712963001</v>
      </c>
      <c r="H1203" s="52">
        <v>3.5185185185189999E-3</v>
      </c>
      <c r="I1203">
        <v>22.875278472900391</v>
      </c>
      <c r="J1203">
        <v>11001.560655433201</v>
      </c>
      <c r="K1203">
        <v>140.84517716608499</v>
      </c>
    </row>
    <row r="1204" spans="1:11" x14ac:dyDescent="0.25">
      <c r="A1204" t="str">
        <f>VLOOKUP(C1204,'[2]Ensaio 1'!$A$2:$E$28,5,FALSE)</f>
        <v>Control</v>
      </c>
      <c r="B1204">
        <f>VLOOKUP(C1204,'[2]Ensaio 1'!$A$2:$F$28,6,FALSE)</f>
        <v>3</v>
      </c>
      <c r="C1204" s="36">
        <v>960000003688522</v>
      </c>
      <c r="D1204" s="36">
        <v>960000003688522</v>
      </c>
      <c r="E1204" s="1">
        <f t="shared" si="18"/>
        <v>44995</v>
      </c>
      <c r="F1204" s="51">
        <v>44995.970208333303</v>
      </c>
      <c r="G1204" s="51">
        <v>44995.973599536999</v>
      </c>
      <c r="H1204" s="52">
        <v>2.9629629629630001E-3</v>
      </c>
      <c r="I1204">
        <v>23.284999847412109</v>
      </c>
      <c r="J1204">
        <v>8684.2216309135893</v>
      </c>
      <c r="K1204">
        <v>103.06786752056399</v>
      </c>
    </row>
    <row r="1205" spans="1:11" x14ac:dyDescent="0.25">
      <c r="A1205" t="str">
        <f>VLOOKUP(C1205,'[2]Ensaio 1'!$A$2:$E$28,5,FALSE)</f>
        <v>Control</v>
      </c>
      <c r="B1205">
        <f>VLOOKUP(C1205,'[2]Ensaio 1'!$A$2:$F$28,6,FALSE)</f>
        <v>3</v>
      </c>
      <c r="C1205" s="36">
        <v>960000003664778</v>
      </c>
      <c r="D1205" s="36">
        <v>960000003664778</v>
      </c>
      <c r="E1205" s="1">
        <f t="shared" si="18"/>
        <v>44996</v>
      </c>
      <c r="F1205" s="51">
        <v>44996.070127314801</v>
      </c>
      <c r="G1205" s="51">
        <v>44996.072685185201</v>
      </c>
      <c r="H1205" s="52">
        <v>2.5115740740739999E-3</v>
      </c>
      <c r="I1205">
        <v>1.683055520057678</v>
      </c>
      <c r="J1205">
        <v>10618.2159043183</v>
      </c>
      <c r="K1205">
        <v>140.894126580684</v>
      </c>
    </row>
    <row r="1206" spans="1:11" x14ac:dyDescent="0.25">
      <c r="A1206" t="str">
        <f>VLOOKUP(C1206,'[2]Ensaio 1'!$A$2:$E$28,5,FALSE)</f>
        <v>Control</v>
      </c>
      <c r="B1206">
        <f>VLOOKUP(C1206,'[2]Ensaio 1'!$A$2:$F$28,6,FALSE)</f>
        <v>3</v>
      </c>
      <c r="C1206" s="36">
        <v>960000003827766</v>
      </c>
      <c r="D1206" s="36">
        <v>960000003827766</v>
      </c>
      <c r="E1206" s="1">
        <f t="shared" si="18"/>
        <v>44996</v>
      </c>
      <c r="F1206" s="51">
        <v>44996.140636574099</v>
      </c>
      <c r="G1206" s="51">
        <v>44996.144189814797</v>
      </c>
      <c r="H1206" s="52">
        <v>3.1134259259259999E-3</v>
      </c>
      <c r="I1206">
        <v>3.3752777576446529</v>
      </c>
      <c r="J1206">
        <v>9043.1485865375307</v>
      </c>
      <c r="K1206">
        <v>57.8129286074047</v>
      </c>
    </row>
    <row r="1207" spans="1:11" x14ac:dyDescent="0.25">
      <c r="A1207" t="str">
        <f>VLOOKUP(C1207,'[2]Ensaio 1'!$A$2:$E$28,5,FALSE)</f>
        <v>Control</v>
      </c>
      <c r="B1207">
        <f>VLOOKUP(C1207,'[2]Ensaio 1'!$A$2:$F$28,6,FALSE)</f>
        <v>3</v>
      </c>
      <c r="C1207" s="36">
        <v>960000003608633</v>
      </c>
      <c r="D1207" s="36">
        <v>960000003608633</v>
      </c>
      <c r="E1207" s="1">
        <f t="shared" si="18"/>
        <v>44996</v>
      </c>
      <c r="F1207" s="51">
        <v>44996.1557986111</v>
      </c>
      <c r="G1207" s="51">
        <v>44996.158518518503</v>
      </c>
      <c r="H1207" s="52">
        <v>2.673611111111E-3</v>
      </c>
      <c r="I1207">
        <v>3.7391667366027832</v>
      </c>
      <c r="J1207">
        <v>10524.123009705099</v>
      </c>
      <c r="K1207">
        <v>126.288249708603</v>
      </c>
    </row>
    <row r="1208" spans="1:11" x14ac:dyDescent="0.25">
      <c r="A1208" t="str">
        <f>VLOOKUP(C1208,'[2]Ensaio 1'!$A$2:$E$28,5,FALSE)</f>
        <v>Control</v>
      </c>
      <c r="B1208">
        <f>VLOOKUP(C1208,'[2]Ensaio 1'!$A$2:$F$28,6,FALSE)</f>
        <v>3</v>
      </c>
      <c r="C1208" s="36">
        <v>960000003688522</v>
      </c>
      <c r="D1208" s="36">
        <v>960000003688522</v>
      </c>
      <c r="E1208" s="1">
        <f t="shared" si="18"/>
        <v>44996</v>
      </c>
      <c r="F1208" s="51">
        <v>44996.280960648102</v>
      </c>
      <c r="G1208" s="51">
        <v>44996.2843055556</v>
      </c>
      <c r="H1208" s="52">
        <v>2.9166666666669999E-3</v>
      </c>
      <c r="I1208">
        <v>6.7430553436279297</v>
      </c>
      <c r="J1208">
        <v>7448.7735121329297</v>
      </c>
      <c r="K1208">
        <v>67.041414494393706</v>
      </c>
    </row>
    <row r="1209" spans="1:11" x14ac:dyDescent="0.25">
      <c r="A1209" t="str">
        <f>VLOOKUP(C1209,'[2]Ensaio 1'!$A$2:$E$28,5,FALSE)</f>
        <v>Control</v>
      </c>
      <c r="B1209">
        <f>VLOOKUP(C1209,'[2]Ensaio 1'!$A$2:$F$28,6,FALSE)</f>
        <v>3</v>
      </c>
      <c r="C1209" s="36">
        <v>960000003664778</v>
      </c>
      <c r="D1209" s="36">
        <v>960000003664778</v>
      </c>
      <c r="E1209" s="1">
        <f t="shared" si="18"/>
        <v>44996</v>
      </c>
      <c r="F1209" s="51">
        <v>44996.286354166703</v>
      </c>
      <c r="G1209" s="51">
        <v>44996.288495370398</v>
      </c>
      <c r="H1209" s="52">
        <v>2.1064814814809999E-3</v>
      </c>
      <c r="I1209">
        <v>6.872499942779541</v>
      </c>
      <c r="J1209">
        <v>8850.5215798842401</v>
      </c>
      <c r="K1209">
        <v>117.89049739959</v>
      </c>
    </row>
    <row r="1210" spans="1:11" x14ac:dyDescent="0.25">
      <c r="A1210" t="str">
        <f>VLOOKUP(C1210,'[2]Ensaio 1'!$A$2:$E$28,5,FALSE)</f>
        <v>Control</v>
      </c>
      <c r="B1210">
        <f>VLOOKUP(C1210,'[2]Ensaio 1'!$A$2:$F$28,6,FALSE)</f>
        <v>3</v>
      </c>
      <c r="C1210" s="36">
        <v>960000003827766</v>
      </c>
      <c r="D1210" s="36">
        <v>960000003827766</v>
      </c>
      <c r="E1210" s="1">
        <f t="shared" si="18"/>
        <v>44996</v>
      </c>
      <c r="F1210" s="51">
        <v>44996.388634259303</v>
      </c>
      <c r="G1210" s="51">
        <v>44996.393067129597</v>
      </c>
      <c r="H1210" s="52">
        <v>2.7662037037040001E-3</v>
      </c>
      <c r="I1210">
        <v>9.3272218704223633</v>
      </c>
      <c r="J1210">
        <v>8714.98243600559</v>
      </c>
      <c r="K1210">
        <v>81.696353558757906</v>
      </c>
    </row>
    <row r="1211" spans="1:11" x14ac:dyDescent="0.25">
      <c r="A1211" t="str">
        <f>VLOOKUP(C1211,'[2]Ensaio 1'!$A$2:$E$28,5,FALSE)</f>
        <v>Control</v>
      </c>
      <c r="B1211">
        <f>VLOOKUP(C1211,'[2]Ensaio 1'!$A$2:$F$28,6,FALSE)</f>
        <v>3</v>
      </c>
      <c r="C1211" s="36">
        <v>960000003664778</v>
      </c>
      <c r="D1211" s="36">
        <v>960000003664778</v>
      </c>
      <c r="E1211" s="1">
        <f t="shared" si="18"/>
        <v>44996</v>
      </c>
      <c r="F1211" s="51">
        <v>44996.542696759301</v>
      </c>
      <c r="G1211" s="51">
        <v>44996.545937499999</v>
      </c>
      <c r="H1211" s="52">
        <v>3.1481481481479999E-3</v>
      </c>
      <c r="I1211">
        <v>13.024722099304199</v>
      </c>
      <c r="J1211">
        <v>8669.7766136509708</v>
      </c>
      <c r="K1211">
        <v>122.638508805231</v>
      </c>
    </row>
    <row r="1212" spans="1:11" x14ac:dyDescent="0.25">
      <c r="A1212" t="str">
        <f>VLOOKUP(C1212,'[2]Ensaio 1'!$A$2:$E$28,5,FALSE)</f>
        <v>Control</v>
      </c>
      <c r="B1212">
        <f>VLOOKUP(C1212,'[2]Ensaio 1'!$A$2:$F$28,6,FALSE)</f>
        <v>3</v>
      </c>
      <c r="C1212" s="36">
        <v>960000003688522</v>
      </c>
      <c r="D1212" s="36">
        <v>960000003688522</v>
      </c>
      <c r="E1212" s="1">
        <f t="shared" si="18"/>
        <v>44996</v>
      </c>
      <c r="F1212" s="51">
        <v>44996.556747685201</v>
      </c>
      <c r="G1212" s="51">
        <v>44996.560023148202</v>
      </c>
      <c r="H1212" s="52">
        <v>3.0902777777780002E-3</v>
      </c>
      <c r="I1212">
        <v>13.361944198608398</v>
      </c>
      <c r="J1212">
        <v>7598.1371585511897</v>
      </c>
      <c r="K1212">
        <v>120.479075730942</v>
      </c>
    </row>
    <row r="1213" spans="1:11" x14ac:dyDescent="0.25">
      <c r="A1213" t="str">
        <f>VLOOKUP(C1213,'[2]Ensaio 1'!$A$2:$E$28,5,FALSE)</f>
        <v>Control</v>
      </c>
      <c r="B1213">
        <f>VLOOKUP(C1213,'[2]Ensaio 1'!$A$2:$F$28,6,FALSE)</f>
        <v>3</v>
      </c>
      <c r="C1213" s="36">
        <v>960000003608633</v>
      </c>
      <c r="D1213" s="36">
        <v>960000003608633</v>
      </c>
      <c r="E1213" s="1">
        <f t="shared" si="18"/>
        <v>44996</v>
      </c>
      <c r="F1213" s="51">
        <v>44996.604247685202</v>
      </c>
      <c r="G1213" s="51">
        <v>44996.607534722199</v>
      </c>
      <c r="H1213" s="52">
        <v>3.1250000000000002E-3</v>
      </c>
      <c r="I1213">
        <v>14.501944541931152</v>
      </c>
      <c r="J1213">
        <v>10703.6750919035</v>
      </c>
      <c r="K1213">
        <v>159.70864179909501</v>
      </c>
    </row>
    <row r="1214" spans="1:11" x14ac:dyDescent="0.25">
      <c r="A1214" t="str">
        <f>VLOOKUP(C1214,'[2]Ensaio 1'!$A$2:$E$28,5,FALSE)</f>
        <v>Control</v>
      </c>
      <c r="B1214">
        <f>VLOOKUP(C1214,'[2]Ensaio 1'!$A$2:$F$28,6,FALSE)</f>
        <v>3</v>
      </c>
      <c r="C1214" s="36">
        <v>960000003827766</v>
      </c>
      <c r="D1214" s="36">
        <v>960000003827766</v>
      </c>
      <c r="E1214" s="1">
        <f t="shared" si="18"/>
        <v>44996</v>
      </c>
      <c r="F1214" s="51">
        <v>44996.673206018502</v>
      </c>
      <c r="G1214" s="51">
        <v>44996.676620370403</v>
      </c>
      <c r="H1214" s="52">
        <v>3.333333333333E-3</v>
      </c>
      <c r="I1214">
        <v>16.156944274902344</v>
      </c>
      <c r="J1214">
        <v>9366.9903989791601</v>
      </c>
      <c r="K1214">
        <v>107.796059408689</v>
      </c>
    </row>
    <row r="1215" spans="1:11" x14ac:dyDescent="0.25">
      <c r="A1215" t="str">
        <f>VLOOKUP(C1215,'[2]Ensaio 1'!$A$2:$E$28,5,FALSE)</f>
        <v>Control</v>
      </c>
      <c r="B1215">
        <f>VLOOKUP(C1215,'[2]Ensaio 1'!$A$2:$F$28,6,FALSE)</f>
        <v>3</v>
      </c>
      <c r="C1215" s="36">
        <v>960000003664778</v>
      </c>
      <c r="D1215" s="36">
        <v>960000003664778</v>
      </c>
      <c r="E1215" s="1">
        <f t="shared" si="18"/>
        <v>44996</v>
      </c>
      <c r="F1215" s="51">
        <v>44996.791284722203</v>
      </c>
      <c r="G1215" s="51">
        <v>44996.793344907397</v>
      </c>
      <c r="H1215" s="52">
        <v>2.0254629629630001E-3</v>
      </c>
      <c r="I1215">
        <v>18.990833282470703</v>
      </c>
      <c r="J1215">
        <v>9874.4161385121897</v>
      </c>
      <c r="K1215">
        <v>175.53075702626799</v>
      </c>
    </row>
    <row r="1216" spans="1:11" x14ac:dyDescent="0.25">
      <c r="A1216" t="str">
        <f>VLOOKUP(C1216,'[2]Ensaio 1'!$A$2:$E$28,5,FALSE)</f>
        <v>Control</v>
      </c>
      <c r="B1216">
        <f>VLOOKUP(C1216,'[2]Ensaio 1'!$A$2:$F$28,6,FALSE)</f>
        <v>3</v>
      </c>
      <c r="C1216" s="36">
        <v>960000003688522</v>
      </c>
      <c r="D1216" s="36">
        <v>960000003688522</v>
      </c>
      <c r="E1216" s="1">
        <f t="shared" si="18"/>
        <v>44996</v>
      </c>
      <c r="F1216" s="51">
        <v>44996.831446759301</v>
      </c>
      <c r="G1216" s="51">
        <v>44996.8344097222</v>
      </c>
      <c r="H1216" s="52">
        <v>2.87037037037E-3</v>
      </c>
      <c r="I1216">
        <v>19.954721450805664</v>
      </c>
      <c r="J1216">
        <v>8310.5232574289403</v>
      </c>
      <c r="K1216">
        <v>162.76451602620801</v>
      </c>
    </row>
    <row r="1217" spans="1:11" x14ac:dyDescent="0.25">
      <c r="A1217" t="str">
        <f>VLOOKUP(C1217,'[2]Ensaio 1'!$A$2:$E$28,5,FALSE)</f>
        <v>Control</v>
      </c>
      <c r="B1217">
        <f>VLOOKUP(C1217,'[2]Ensaio 1'!$A$2:$F$28,6,FALSE)</f>
        <v>3</v>
      </c>
      <c r="C1217" s="36">
        <v>960000003827766</v>
      </c>
      <c r="D1217" s="36">
        <v>960000003827766</v>
      </c>
      <c r="E1217" s="1">
        <f t="shared" si="18"/>
        <v>44996</v>
      </c>
      <c r="F1217" s="51">
        <v>44996.902928240699</v>
      </c>
      <c r="G1217" s="51">
        <v>44996.906828703701</v>
      </c>
      <c r="H1217" s="52">
        <v>2.9629629629630001E-3</v>
      </c>
      <c r="I1217">
        <v>21.670278549194336</v>
      </c>
      <c r="J1217">
        <v>10422.3505763434</v>
      </c>
      <c r="K1217">
        <v>110.21325213611399</v>
      </c>
    </row>
    <row r="1218" spans="1:11" x14ac:dyDescent="0.25">
      <c r="A1218" t="str">
        <f>VLOOKUP(C1218,'[2]Ensaio 1'!$A$2:$E$28,5,FALSE)</f>
        <v>Control</v>
      </c>
      <c r="B1218">
        <f>VLOOKUP(C1218,'[2]Ensaio 1'!$A$2:$F$28,6,FALSE)</f>
        <v>3</v>
      </c>
      <c r="C1218" s="36">
        <v>900248002084626</v>
      </c>
      <c r="D1218" s="36">
        <v>900248002084626</v>
      </c>
      <c r="E1218" s="1">
        <f t="shared" ref="E1218:E1281" si="19">ROUNDDOWN(LEFT(F1218,10),0)</f>
        <v>44996</v>
      </c>
      <c r="F1218" s="51">
        <v>44996.915300925903</v>
      </c>
      <c r="G1218" s="51">
        <v>44996.917534722197</v>
      </c>
      <c r="H1218" s="52">
        <v>2.0254629629630001E-3</v>
      </c>
      <c r="I1218">
        <v>21.967222213745117</v>
      </c>
      <c r="J1218">
        <v>9877.3919502233894</v>
      </c>
      <c r="K1218">
        <v>101.733976041674</v>
      </c>
    </row>
    <row r="1219" spans="1:11" x14ac:dyDescent="0.25">
      <c r="A1219" t="str">
        <f>VLOOKUP(C1219,'[2]Ensaio 1'!$A$2:$E$28,5,FALSE)</f>
        <v>Control</v>
      </c>
      <c r="B1219">
        <f>VLOOKUP(C1219,'[2]Ensaio 1'!$A$2:$F$28,6,FALSE)</f>
        <v>3</v>
      </c>
      <c r="C1219" s="36">
        <v>960000003608633</v>
      </c>
      <c r="D1219" s="36">
        <v>960000003608633</v>
      </c>
      <c r="E1219" s="1">
        <f t="shared" si="19"/>
        <v>44996</v>
      </c>
      <c r="F1219" s="51">
        <v>44996.971122685201</v>
      </c>
      <c r="G1219" s="51">
        <v>44996.9743171296</v>
      </c>
      <c r="H1219" s="52">
        <v>2.337962962963E-3</v>
      </c>
      <c r="I1219">
        <v>23.306943893432617</v>
      </c>
      <c r="J1219">
        <v>11349.642614116599</v>
      </c>
      <c r="K1219">
        <v>129.36520146116001</v>
      </c>
    </row>
    <row r="1220" spans="1:11" x14ac:dyDescent="0.25">
      <c r="A1220" t="str">
        <f>VLOOKUP(C1220,'[2]Ensaio 1'!$A$2:$E$28,5,FALSE)</f>
        <v>Control</v>
      </c>
      <c r="B1220">
        <f>VLOOKUP(C1220,'[2]Ensaio 1'!$A$2:$F$28,6,FALSE)</f>
        <v>3</v>
      </c>
      <c r="C1220" s="36">
        <v>960000003827766</v>
      </c>
      <c r="D1220" s="36">
        <v>960000003827766</v>
      </c>
      <c r="E1220" s="1">
        <f t="shared" si="19"/>
        <v>44997</v>
      </c>
      <c r="F1220" s="51">
        <v>44997.050196759301</v>
      </c>
      <c r="G1220" s="51">
        <v>44997.0540162037</v>
      </c>
      <c r="H1220" s="52">
        <v>2.337962962963E-3</v>
      </c>
      <c r="I1220">
        <v>1.2047221660614009</v>
      </c>
      <c r="J1220">
        <v>10252.191761518599</v>
      </c>
      <c r="K1220">
        <v>80.766908289137803</v>
      </c>
    </row>
    <row r="1221" spans="1:11" x14ac:dyDescent="0.25">
      <c r="A1221" t="str">
        <f>VLOOKUP(C1221,'[2]Ensaio 1'!$A$2:$E$28,5,FALSE)</f>
        <v>Control</v>
      </c>
      <c r="B1221">
        <f>VLOOKUP(C1221,'[2]Ensaio 1'!$A$2:$F$28,6,FALSE)</f>
        <v>3</v>
      </c>
      <c r="C1221" s="36">
        <v>900248002084626</v>
      </c>
      <c r="D1221" s="36">
        <v>900248002084626</v>
      </c>
      <c r="E1221" s="1">
        <f t="shared" si="19"/>
        <v>44997</v>
      </c>
      <c r="F1221" s="51">
        <v>44997.059652777803</v>
      </c>
      <c r="G1221" s="51">
        <v>44997.062523148103</v>
      </c>
      <c r="H1221" s="52">
        <v>2.8124999999999999E-3</v>
      </c>
      <c r="I1221">
        <v>1.4316666126251221</v>
      </c>
      <c r="J1221">
        <v>11233.670034877199</v>
      </c>
      <c r="K1221">
        <v>142.053827428978</v>
      </c>
    </row>
    <row r="1222" spans="1:11" x14ac:dyDescent="0.25">
      <c r="A1222" t="str">
        <f>VLOOKUP(C1222,'[2]Ensaio 1'!$A$2:$E$28,5,FALSE)</f>
        <v>Control</v>
      </c>
      <c r="B1222">
        <f>VLOOKUP(C1222,'[2]Ensaio 1'!$A$2:$F$28,6,FALSE)</f>
        <v>3</v>
      </c>
      <c r="C1222" s="36">
        <v>960000003664778</v>
      </c>
      <c r="D1222" s="36">
        <v>960000003664778</v>
      </c>
      <c r="E1222" s="1">
        <f t="shared" si="19"/>
        <v>44997</v>
      </c>
      <c r="F1222" s="51">
        <v>44997.064351851899</v>
      </c>
      <c r="G1222" s="51">
        <v>44997.067870370403</v>
      </c>
      <c r="H1222" s="52">
        <v>3.1481481481479999E-3</v>
      </c>
      <c r="I1222">
        <v>1.5444444417953489</v>
      </c>
      <c r="J1222">
        <v>9358.0916299742694</v>
      </c>
      <c r="K1222">
        <v>138.84375304825701</v>
      </c>
    </row>
    <row r="1223" spans="1:11" x14ac:dyDescent="0.25">
      <c r="A1223" t="str">
        <f>VLOOKUP(C1223,'[2]Ensaio 1'!$A$2:$E$28,5,FALSE)</f>
        <v>Control</v>
      </c>
      <c r="B1223">
        <f>VLOOKUP(C1223,'[2]Ensaio 1'!$A$2:$F$28,6,FALSE)</f>
        <v>3</v>
      </c>
      <c r="C1223" s="36">
        <v>960000003608633</v>
      </c>
      <c r="D1223" s="36">
        <v>960000003608633</v>
      </c>
      <c r="E1223" s="1">
        <f t="shared" si="19"/>
        <v>44997</v>
      </c>
      <c r="F1223" s="51">
        <v>44997.0878240741</v>
      </c>
      <c r="G1223" s="51">
        <v>44997.090428240699</v>
      </c>
      <c r="H1223" s="52">
        <v>2.534722222222E-3</v>
      </c>
      <c r="I1223">
        <v>2.1077778339385991</v>
      </c>
      <c r="J1223">
        <v>10712.272689576301</v>
      </c>
      <c r="K1223">
        <v>84.158445722364107</v>
      </c>
    </row>
    <row r="1224" spans="1:11" x14ac:dyDescent="0.25">
      <c r="A1224" t="str">
        <f>VLOOKUP(C1224,'[2]Ensaio 1'!$A$2:$E$28,5,FALSE)</f>
        <v>Control</v>
      </c>
      <c r="B1224">
        <f>VLOOKUP(C1224,'[2]Ensaio 1'!$A$2:$F$28,6,FALSE)</f>
        <v>3</v>
      </c>
      <c r="C1224" s="36">
        <v>960000003827766</v>
      </c>
      <c r="D1224" s="36">
        <v>960000003827766</v>
      </c>
      <c r="E1224" s="1">
        <f t="shared" si="19"/>
        <v>44997</v>
      </c>
      <c r="F1224" s="51">
        <v>44997.290196759299</v>
      </c>
      <c r="G1224" s="51">
        <v>44997.295092592598</v>
      </c>
      <c r="H1224" s="52">
        <v>2.6967592592590001E-3</v>
      </c>
      <c r="I1224">
        <v>6.9647221565246582</v>
      </c>
      <c r="J1224">
        <v>9625.3566839238101</v>
      </c>
      <c r="K1224">
        <v>86.879873431976307</v>
      </c>
    </row>
    <row r="1225" spans="1:11" x14ac:dyDescent="0.25">
      <c r="A1225" t="str">
        <f>VLOOKUP(C1225,'[2]Ensaio 1'!$A$2:$E$28,5,FALSE)</f>
        <v>Control</v>
      </c>
      <c r="B1225">
        <f>VLOOKUP(C1225,'[2]Ensaio 1'!$A$2:$F$28,6,FALSE)</f>
        <v>3</v>
      </c>
      <c r="C1225" s="36">
        <v>960000003664778</v>
      </c>
      <c r="D1225" s="36">
        <v>960000003664778</v>
      </c>
      <c r="E1225" s="1">
        <f t="shared" si="19"/>
        <v>44997</v>
      </c>
      <c r="F1225" s="51">
        <v>44997.3139814815</v>
      </c>
      <c r="G1225" s="51">
        <v>44997.317303240699</v>
      </c>
      <c r="H1225" s="52">
        <v>3.1134259259259999E-3</v>
      </c>
      <c r="I1225">
        <v>7.535555362701416</v>
      </c>
      <c r="J1225">
        <v>8011.08613647934</v>
      </c>
      <c r="K1225">
        <v>88.224611556653102</v>
      </c>
    </row>
    <row r="1226" spans="1:11" x14ac:dyDescent="0.25">
      <c r="A1226" t="str">
        <f>VLOOKUP(C1226,'[2]Ensaio 1'!$A$2:$E$28,5,FALSE)</f>
        <v>Control</v>
      </c>
      <c r="B1226">
        <f>VLOOKUP(C1226,'[2]Ensaio 1'!$A$2:$F$28,6,FALSE)</f>
        <v>3</v>
      </c>
      <c r="C1226" s="36">
        <v>960000003688522</v>
      </c>
      <c r="D1226" s="36">
        <v>960000003688522</v>
      </c>
      <c r="E1226" s="1">
        <f t="shared" si="19"/>
        <v>44997</v>
      </c>
      <c r="F1226" s="51">
        <v>44997.330347222203</v>
      </c>
      <c r="G1226" s="51">
        <v>44997.333530092597</v>
      </c>
      <c r="H1226" s="52">
        <v>2.8009259259260001E-3</v>
      </c>
      <c r="I1226">
        <v>7.9283332824707031</v>
      </c>
      <c r="J1226">
        <v>7373.3992912414997</v>
      </c>
      <c r="K1226">
        <v>124.953039729913</v>
      </c>
    </row>
    <row r="1227" spans="1:11" x14ac:dyDescent="0.25">
      <c r="A1227" t="str">
        <f>VLOOKUP(C1227,'[2]Ensaio 1'!$A$2:$E$28,5,FALSE)</f>
        <v>Control</v>
      </c>
      <c r="B1227">
        <f>VLOOKUP(C1227,'[2]Ensaio 1'!$A$2:$F$28,6,FALSE)</f>
        <v>3</v>
      </c>
      <c r="C1227" s="36">
        <v>960000003608633</v>
      </c>
      <c r="D1227" s="36">
        <v>960000003608633</v>
      </c>
      <c r="E1227" s="1">
        <f t="shared" si="19"/>
        <v>44997</v>
      </c>
      <c r="F1227" s="51">
        <v>44997.3415046296</v>
      </c>
      <c r="G1227" s="51">
        <v>44997.344270833302</v>
      </c>
      <c r="H1227" s="52">
        <v>2.604166666667E-3</v>
      </c>
      <c r="I1227">
        <v>8.196110725402832</v>
      </c>
      <c r="J1227">
        <v>7734.1111516964702</v>
      </c>
      <c r="K1227">
        <v>85.033657130308001</v>
      </c>
    </row>
    <row r="1228" spans="1:11" x14ac:dyDescent="0.25">
      <c r="A1228" t="str">
        <f>VLOOKUP(C1228,'[2]Ensaio 1'!$A$2:$E$28,5,FALSE)</f>
        <v>Control</v>
      </c>
      <c r="B1228">
        <f>VLOOKUP(C1228,'[2]Ensaio 1'!$A$2:$F$28,6,FALSE)</f>
        <v>3</v>
      </c>
      <c r="C1228" s="36">
        <v>900248002084626</v>
      </c>
      <c r="D1228" s="36">
        <v>900248002084626</v>
      </c>
      <c r="E1228" s="1">
        <f t="shared" si="19"/>
        <v>44997</v>
      </c>
      <c r="F1228" s="51">
        <v>44997.472129629597</v>
      </c>
      <c r="G1228" s="51">
        <v>44997.475185185198</v>
      </c>
      <c r="H1228" s="52">
        <v>3.0208333333330002E-3</v>
      </c>
      <c r="I1228">
        <v>11.331110954284668</v>
      </c>
      <c r="J1228">
        <v>10680.7225184586</v>
      </c>
      <c r="K1228">
        <v>122.044741480249</v>
      </c>
    </row>
    <row r="1229" spans="1:11" x14ac:dyDescent="0.25">
      <c r="A1229" t="str">
        <f>VLOOKUP(C1229,'[2]Ensaio 1'!$A$2:$E$28,5,FALSE)</f>
        <v>Control</v>
      </c>
      <c r="B1229">
        <f>VLOOKUP(C1229,'[2]Ensaio 1'!$A$2:$F$28,6,FALSE)</f>
        <v>3</v>
      </c>
      <c r="C1229" s="36">
        <v>960000003827766</v>
      </c>
      <c r="D1229" s="36">
        <v>960000003827766</v>
      </c>
      <c r="E1229" s="1">
        <f t="shared" si="19"/>
        <v>44997</v>
      </c>
      <c r="F1229" s="51">
        <v>44997.519953703697</v>
      </c>
      <c r="G1229" s="51">
        <v>44997.524270833303</v>
      </c>
      <c r="H1229" s="52">
        <v>3.4953703703700001E-3</v>
      </c>
      <c r="I1229">
        <v>12.478888511657715</v>
      </c>
      <c r="J1229">
        <v>9181.4493402066801</v>
      </c>
      <c r="K1229">
        <v>104.03660907690499</v>
      </c>
    </row>
    <row r="1230" spans="1:11" x14ac:dyDescent="0.25">
      <c r="A1230" t="str">
        <f>VLOOKUP(C1230,'[2]Ensaio 1'!$A$2:$E$28,5,FALSE)</f>
        <v>Control</v>
      </c>
      <c r="B1230">
        <f>VLOOKUP(C1230,'[2]Ensaio 1'!$A$2:$F$28,6,FALSE)</f>
        <v>3</v>
      </c>
      <c r="C1230" s="36">
        <v>960000003608633</v>
      </c>
      <c r="D1230" s="36">
        <v>960000003608633</v>
      </c>
      <c r="E1230" s="1">
        <f t="shared" si="19"/>
        <v>44997</v>
      </c>
      <c r="F1230" s="51">
        <v>44997.610763888901</v>
      </c>
      <c r="G1230" s="51">
        <v>44997.614513888897</v>
      </c>
      <c r="H1230" s="52">
        <v>2.3842592592589998E-3</v>
      </c>
      <c r="I1230">
        <v>14.658333778381348</v>
      </c>
      <c r="J1230">
        <v>9228.7292471170203</v>
      </c>
      <c r="K1230">
        <v>98.182144617428307</v>
      </c>
    </row>
    <row r="1231" spans="1:11" x14ac:dyDescent="0.25">
      <c r="A1231" t="str">
        <f>VLOOKUP(C1231,'[2]Ensaio 1'!$A$2:$E$28,5,FALSE)</f>
        <v>Control</v>
      </c>
      <c r="B1231">
        <f>VLOOKUP(C1231,'[2]Ensaio 1'!$A$2:$F$28,6,FALSE)</f>
        <v>3</v>
      </c>
      <c r="C1231" s="36">
        <v>960000003688522</v>
      </c>
      <c r="D1231" s="36">
        <v>960000003688522</v>
      </c>
      <c r="E1231" s="1">
        <f t="shared" si="19"/>
        <v>44997</v>
      </c>
      <c r="F1231" s="51">
        <v>44997.618483796301</v>
      </c>
      <c r="G1231" s="51">
        <v>44997.621481481503</v>
      </c>
      <c r="H1231" s="52">
        <v>2.87037037037E-3</v>
      </c>
      <c r="I1231">
        <v>14.843610763549805</v>
      </c>
      <c r="J1231">
        <v>7719.90017829513</v>
      </c>
      <c r="K1231">
        <v>137.622243517367</v>
      </c>
    </row>
    <row r="1232" spans="1:11" x14ac:dyDescent="0.25">
      <c r="A1232" t="str">
        <f>VLOOKUP(C1232,'[2]Ensaio 1'!$A$2:$E$28,5,FALSE)</f>
        <v>Control</v>
      </c>
      <c r="B1232">
        <f>VLOOKUP(C1232,'[2]Ensaio 1'!$A$2:$F$28,6,FALSE)</f>
        <v>3</v>
      </c>
      <c r="C1232" s="36">
        <v>960000003664778</v>
      </c>
      <c r="D1232" s="36">
        <v>960000003664778</v>
      </c>
      <c r="E1232" s="1">
        <f t="shared" si="19"/>
        <v>44997</v>
      </c>
      <c r="F1232" s="51">
        <v>44997.6433217593</v>
      </c>
      <c r="G1232" s="51">
        <v>44997.645937499998</v>
      </c>
      <c r="H1232" s="52">
        <v>2.4652777777780001E-3</v>
      </c>
      <c r="I1232">
        <v>15.439722061157227</v>
      </c>
      <c r="J1232">
        <v>8718.5319200206504</v>
      </c>
      <c r="K1232">
        <v>66.519279146482802</v>
      </c>
    </row>
    <row r="1233" spans="1:11" x14ac:dyDescent="0.25">
      <c r="A1233" t="str">
        <f>VLOOKUP(C1233,'[2]Ensaio 1'!$A$2:$E$28,5,FALSE)</f>
        <v>Control</v>
      </c>
      <c r="B1233">
        <f>VLOOKUP(C1233,'[2]Ensaio 1'!$A$2:$F$28,6,FALSE)</f>
        <v>3</v>
      </c>
      <c r="C1233" s="36">
        <v>900248002084626</v>
      </c>
      <c r="D1233" s="36">
        <v>900248002084626</v>
      </c>
      <c r="E1233" s="1">
        <f t="shared" si="19"/>
        <v>44997</v>
      </c>
      <c r="F1233" s="51">
        <v>44997.7337037037</v>
      </c>
      <c r="G1233" s="51">
        <v>44997.738935185203</v>
      </c>
      <c r="H1233" s="52">
        <v>3.3101851851849999E-3</v>
      </c>
      <c r="I1233">
        <v>17.608888626098633</v>
      </c>
      <c r="J1233">
        <v>9288.92487119209</v>
      </c>
      <c r="K1233">
        <v>76.104984563106299</v>
      </c>
    </row>
    <row r="1234" spans="1:11" x14ac:dyDescent="0.25">
      <c r="A1234" t="str">
        <f>VLOOKUP(C1234,'[2]Ensaio 1'!$A$2:$E$28,5,FALSE)</f>
        <v>Control</v>
      </c>
      <c r="B1234">
        <f>VLOOKUP(C1234,'[2]Ensaio 1'!$A$2:$F$28,6,FALSE)</f>
        <v>3</v>
      </c>
      <c r="C1234" s="36">
        <v>960000003827766</v>
      </c>
      <c r="D1234" s="36">
        <v>960000003827766</v>
      </c>
      <c r="E1234" s="1">
        <f t="shared" si="19"/>
        <v>44997</v>
      </c>
      <c r="F1234" s="51">
        <v>44997.818263888897</v>
      </c>
      <c r="G1234" s="51">
        <v>44997.821770833303</v>
      </c>
      <c r="H1234" s="52">
        <v>2.5925925925930002E-3</v>
      </c>
      <c r="I1234">
        <v>19.638334274291992</v>
      </c>
      <c r="J1234">
        <v>10265.304500124301</v>
      </c>
      <c r="K1234">
        <v>130.55678908424599</v>
      </c>
    </row>
    <row r="1235" spans="1:11" x14ac:dyDescent="0.25">
      <c r="A1235" t="str">
        <f>VLOOKUP(C1235,'[2]Ensaio 1'!$A$2:$E$28,5,FALSE)</f>
        <v>Control</v>
      </c>
      <c r="B1235">
        <f>VLOOKUP(C1235,'[2]Ensaio 1'!$A$2:$F$28,6,FALSE)</f>
        <v>3</v>
      </c>
      <c r="C1235" s="36">
        <v>960000003664778</v>
      </c>
      <c r="D1235" s="36">
        <v>960000003664778</v>
      </c>
      <c r="E1235" s="1">
        <f t="shared" si="19"/>
        <v>44997</v>
      </c>
      <c r="F1235" s="51">
        <v>44997.951689814799</v>
      </c>
      <c r="G1235" s="51">
        <v>44997.9546527778</v>
      </c>
      <c r="H1235" s="52">
        <v>2.8587962962960001E-3</v>
      </c>
      <c r="I1235">
        <v>22.840555191040039</v>
      </c>
      <c r="J1235">
        <v>9829.0664981230093</v>
      </c>
      <c r="K1235">
        <v>130.03781174394101</v>
      </c>
    </row>
    <row r="1236" spans="1:11" x14ac:dyDescent="0.25">
      <c r="A1236" t="str">
        <f>VLOOKUP(C1236,'[2]Ensaio 1'!$A$2:$E$28,5,FALSE)</f>
        <v>Control</v>
      </c>
      <c r="B1236">
        <f>VLOOKUP(C1236,'[2]Ensaio 1'!$A$2:$F$28,6,FALSE)</f>
        <v>3</v>
      </c>
      <c r="C1236" s="36">
        <v>960000003688522</v>
      </c>
      <c r="D1236" s="36">
        <v>960000003688522</v>
      </c>
      <c r="E1236" s="1">
        <f t="shared" si="19"/>
        <v>44997</v>
      </c>
      <c r="F1236" s="51">
        <v>44997.959120370397</v>
      </c>
      <c r="G1236" s="51">
        <v>44997.962430555599</v>
      </c>
      <c r="H1236" s="52">
        <v>3.2523148148149998E-3</v>
      </c>
      <c r="I1236">
        <v>23.018888473510742</v>
      </c>
      <c r="J1236">
        <v>8475.0183221001607</v>
      </c>
      <c r="K1236">
        <v>163.05310767328399</v>
      </c>
    </row>
    <row r="1237" spans="1:11" x14ac:dyDescent="0.25">
      <c r="A1237" t="str">
        <f>VLOOKUP(C1237,'[2]Ensaio 1'!$A$2:$E$28,5,FALSE)</f>
        <v>Control</v>
      </c>
      <c r="B1237">
        <f>VLOOKUP(C1237,'[2]Ensaio 1'!$A$2:$F$28,6,FALSE)</f>
        <v>3</v>
      </c>
      <c r="C1237" s="36">
        <v>960000003608633</v>
      </c>
      <c r="D1237" s="36">
        <v>960000003608633</v>
      </c>
      <c r="E1237" s="1">
        <f t="shared" si="19"/>
        <v>44997</v>
      </c>
      <c r="F1237" s="51">
        <v>44997.964976851901</v>
      </c>
      <c r="G1237" s="51">
        <v>44997.967800925901</v>
      </c>
      <c r="H1237" s="52">
        <v>2.6273148148150001E-3</v>
      </c>
      <c r="I1237">
        <v>23.159444808959961</v>
      </c>
      <c r="J1237">
        <v>9686.1335904207099</v>
      </c>
      <c r="K1237">
        <v>84.832131221682303</v>
      </c>
    </row>
    <row r="1238" spans="1:11" x14ac:dyDescent="0.25">
      <c r="A1238" t="str">
        <f>VLOOKUP(C1238,'[2]Ensaio 1'!$A$2:$E$28,5,FALSE)</f>
        <v>Control</v>
      </c>
      <c r="B1238">
        <f>VLOOKUP(C1238,'[2]Ensaio 1'!$A$2:$F$28,6,FALSE)</f>
        <v>3</v>
      </c>
      <c r="C1238" s="36">
        <v>960000003827766</v>
      </c>
      <c r="D1238" s="36">
        <v>960000003827766</v>
      </c>
      <c r="E1238" s="1">
        <f t="shared" si="19"/>
        <v>44998</v>
      </c>
      <c r="F1238" s="51">
        <v>44998.032210648104</v>
      </c>
      <c r="G1238" s="51">
        <v>44998.035949074103</v>
      </c>
      <c r="H1238" s="52">
        <v>3.5185185185189999E-3</v>
      </c>
      <c r="I1238">
        <v>0.77305555343627896</v>
      </c>
      <c r="J1238">
        <v>10228.0747337597</v>
      </c>
      <c r="K1238">
        <v>118.09197286163101</v>
      </c>
    </row>
    <row r="1239" spans="1:11" x14ac:dyDescent="0.25">
      <c r="A1239" t="str">
        <f>VLOOKUP(C1239,'[2]Ensaio 1'!$A$2:$E$28,5,FALSE)</f>
        <v>Control</v>
      </c>
      <c r="B1239">
        <f>VLOOKUP(C1239,'[2]Ensaio 1'!$A$2:$F$28,6,FALSE)</f>
        <v>3</v>
      </c>
      <c r="C1239" s="36">
        <v>960000003664778</v>
      </c>
      <c r="D1239" s="36">
        <v>960000003664778</v>
      </c>
      <c r="E1239" s="1">
        <f t="shared" si="19"/>
        <v>44998</v>
      </c>
      <c r="F1239" s="51">
        <v>44998.054432870398</v>
      </c>
      <c r="G1239" s="51">
        <v>44998.057037036997</v>
      </c>
      <c r="H1239" s="52">
        <v>2.5578703703700001E-3</v>
      </c>
      <c r="I1239">
        <v>1.306388854980469</v>
      </c>
      <c r="J1239">
        <v>9847.9536919584607</v>
      </c>
      <c r="K1239">
        <v>132.35441505516999</v>
      </c>
    </row>
    <row r="1240" spans="1:11" x14ac:dyDescent="0.25">
      <c r="A1240" t="str">
        <f>VLOOKUP(C1240,'[2]Ensaio 1'!$A$2:$E$28,5,FALSE)</f>
        <v>Control</v>
      </c>
      <c r="B1240">
        <f>VLOOKUP(C1240,'[2]Ensaio 1'!$A$2:$F$28,6,FALSE)</f>
        <v>3</v>
      </c>
      <c r="C1240" s="36">
        <v>960000003688522</v>
      </c>
      <c r="D1240" s="36">
        <v>960000003688522</v>
      </c>
      <c r="E1240" s="1">
        <f t="shared" si="19"/>
        <v>44998</v>
      </c>
      <c r="F1240" s="51">
        <v>44998.061446759297</v>
      </c>
      <c r="G1240" s="51">
        <v>44998.063900462999</v>
      </c>
      <c r="H1240" s="52">
        <v>2.4074074074069999E-3</v>
      </c>
      <c r="I1240">
        <v>1.474722266197205</v>
      </c>
      <c r="J1240">
        <v>7946.1617147445104</v>
      </c>
      <c r="K1240">
        <v>190.543741132327</v>
      </c>
    </row>
    <row r="1241" spans="1:11" x14ac:dyDescent="0.25">
      <c r="A1241" t="str">
        <f>VLOOKUP(C1241,'[2]Ensaio 1'!$A$2:$E$28,5,FALSE)</f>
        <v>Control</v>
      </c>
      <c r="B1241">
        <f>VLOOKUP(C1241,'[2]Ensaio 1'!$A$2:$F$28,6,FALSE)</f>
        <v>3</v>
      </c>
      <c r="C1241" s="36">
        <v>900248002084626</v>
      </c>
      <c r="D1241" s="36">
        <v>900248002084626</v>
      </c>
      <c r="E1241" s="1">
        <f t="shared" si="19"/>
        <v>44998</v>
      </c>
      <c r="F1241" s="51">
        <v>44998.067986111098</v>
      </c>
      <c r="G1241" s="51">
        <v>44998.071550925903</v>
      </c>
      <c r="H1241" s="52">
        <v>2.9976851851850001E-3</v>
      </c>
      <c r="I1241">
        <v>1.6316666603088379</v>
      </c>
      <c r="J1241">
        <v>10182.160194796301</v>
      </c>
      <c r="K1241">
        <v>78.896000280261902</v>
      </c>
    </row>
    <row r="1242" spans="1:11" x14ac:dyDescent="0.25">
      <c r="A1242" t="str">
        <f>VLOOKUP(C1242,'[2]Ensaio 1'!$A$2:$E$28,5,FALSE)</f>
        <v>Control</v>
      </c>
      <c r="B1242">
        <f>VLOOKUP(C1242,'[2]Ensaio 1'!$A$2:$F$28,6,FALSE)</f>
        <v>3</v>
      </c>
      <c r="C1242" s="36">
        <v>960000003608633</v>
      </c>
      <c r="D1242" s="36">
        <v>960000003608633</v>
      </c>
      <c r="E1242" s="1">
        <f t="shared" si="19"/>
        <v>44998</v>
      </c>
      <c r="F1242" s="51">
        <v>44998.075011574103</v>
      </c>
      <c r="G1242" s="51">
        <v>44998.078356481499</v>
      </c>
      <c r="H1242" s="52">
        <v>3.2986111111110001E-3</v>
      </c>
      <c r="I1242">
        <v>1.8002778291702271</v>
      </c>
      <c r="J1242">
        <v>10210.582927125901</v>
      </c>
      <c r="K1242">
        <v>99.829310272106099</v>
      </c>
    </row>
    <row r="1243" spans="1:11" x14ac:dyDescent="0.25">
      <c r="A1243" t="str">
        <f>VLOOKUP(C1243,'[2]Ensaio 1'!$A$2:$E$28,5,FALSE)</f>
        <v>Control</v>
      </c>
      <c r="B1243">
        <f>VLOOKUP(C1243,'[2]Ensaio 1'!$A$2:$F$28,6,FALSE)</f>
        <v>3</v>
      </c>
      <c r="C1243" s="36">
        <v>960000003664778</v>
      </c>
      <c r="D1243" s="36">
        <v>960000003664778</v>
      </c>
      <c r="E1243" s="1">
        <f t="shared" si="19"/>
        <v>44998</v>
      </c>
      <c r="F1243" s="51">
        <v>44998.281631944403</v>
      </c>
      <c r="G1243" s="51">
        <v>44998.284745370402</v>
      </c>
      <c r="H1243" s="52">
        <v>3.0671296296300001E-3</v>
      </c>
      <c r="I1243">
        <v>6.7591667175292969</v>
      </c>
      <c r="J1243">
        <v>7993.89698928496</v>
      </c>
      <c r="K1243">
        <v>81.204358166427895</v>
      </c>
    </row>
    <row r="1244" spans="1:11" x14ac:dyDescent="0.25">
      <c r="A1244" t="str">
        <f>VLOOKUP(C1244,'[2]Ensaio 1'!$A$2:$E$28,5,FALSE)</f>
        <v>Control</v>
      </c>
      <c r="B1244">
        <f>VLOOKUP(C1244,'[2]Ensaio 1'!$A$2:$F$28,6,FALSE)</f>
        <v>3</v>
      </c>
      <c r="C1244" s="36">
        <v>960000003608633</v>
      </c>
      <c r="D1244" s="36">
        <v>960000003608633</v>
      </c>
      <c r="E1244" s="1">
        <f t="shared" si="19"/>
        <v>44998</v>
      </c>
      <c r="F1244" s="51">
        <v>44998.2947569444</v>
      </c>
      <c r="G1244" s="51">
        <v>44998.299490740697</v>
      </c>
      <c r="H1244" s="52">
        <v>4.4560185185190003E-3</v>
      </c>
      <c r="I1244">
        <v>7.0741667747497559</v>
      </c>
      <c r="J1244">
        <v>9595.7247176863093</v>
      </c>
      <c r="K1244">
        <v>150.66356918116</v>
      </c>
    </row>
    <row r="1245" spans="1:11" x14ac:dyDescent="0.25">
      <c r="A1245" t="str">
        <f>VLOOKUP(C1245,'[2]Ensaio 1'!$A$2:$E$28,5,FALSE)</f>
        <v>Control</v>
      </c>
      <c r="B1245">
        <f>VLOOKUP(C1245,'[2]Ensaio 1'!$A$2:$F$28,6,FALSE)</f>
        <v>3</v>
      </c>
      <c r="C1245" s="36">
        <v>960000003827766</v>
      </c>
      <c r="D1245" s="36">
        <v>960000003827766</v>
      </c>
      <c r="E1245" s="1">
        <f t="shared" si="19"/>
        <v>44998</v>
      </c>
      <c r="F1245" s="51">
        <v>44998.347905092603</v>
      </c>
      <c r="G1245" s="51">
        <v>44998.350150462997</v>
      </c>
      <c r="H1245" s="52">
        <v>2.071759259259E-3</v>
      </c>
      <c r="I1245">
        <v>8.3497219085693359</v>
      </c>
      <c r="J1245">
        <v>9167.7984104988009</v>
      </c>
      <c r="K1245">
        <v>92.305960195548707</v>
      </c>
    </row>
    <row r="1246" spans="1:11" x14ac:dyDescent="0.25">
      <c r="A1246" t="str">
        <f>VLOOKUP(C1246,'[2]Ensaio 1'!$A$2:$E$28,5,FALSE)</f>
        <v>Control</v>
      </c>
      <c r="B1246">
        <f>VLOOKUP(C1246,'[2]Ensaio 1'!$A$2:$F$28,6,FALSE)</f>
        <v>3</v>
      </c>
      <c r="C1246" s="36">
        <v>900248002084626</v>
      </c>
      <c r="D1246" s="36">
        <v>900248002084626</v>
      </c>
      <c r="E1246" s="1">
        <f t="shared" si="19"/>
        <v>44998</v>
      </c>
      <c r="F1246" s="51">
        <v>44998.3536805556</v>
      </c>
      <c r="G1246" s="51">
        <v>44998.359548611101</v>
      </c>
      <c r="H1246" s="52">
        <v>3.3912037037040002E-3</v>
      </c>
      <c r="I1246">
        <v>8.4883337020874023</v>
      </c>
      <c r="J1246">
        <v>8145.9720883911496</v>
      </c>
      <c r="K1246">
        <v>83.607114875049604</v>
      </c>
    </row>
    <row r="1247" spans="1:11" x14ac:dyDescent="0.25">
      <c r="A1247" t="str">
        <f>VLOOKUP(C1247,'[2]Ensaio 1'!$A$2:$E$28,5,FALSE)</f>
        <v>Control</v>
      </c>
      <c r="B1247">
        <f>VLOOKUP(C1247,'[2]Ensaio 1'!$A$2:$F$28,6,FALSE)</f>
        <v>3</v>
      </c>
      <c r="C1247" s="36">
        <v>960000003608633</v>
      </c>
      <c r="D1247" s="36">
        <v>960000003608633</v>
      </c>
      <c r="E1247" s="1">
        <f t="shared" si="19"/>
        <v>44998</v>
      </c>
      <c r="F1247" s="51">
        <v>44998.514652777798</v>
      </c>
      <c r="G1247" s="51">
        <v>44998.518182870401</v>
      </c>
      <c r="H1247" s="52">
        <v>3.472222222222E-3</v>
      </c>
      <c r="I1247">
        <v>12.351666450500488</v>
      </c>
      <c r="J1247">
        <v>10330.349164359999</v>
      </c>
      <c r="K1247">
        <v>119.750911178932</v>
      </c>
    </row>
    <row r="1248" spans="1:11" x14ac:dyDescent="0.25">
      <c r="A1248" t="str">
        <f>VLOOKUP(C1248,'[2]Ensaio 1'!$A$2:$E$28,5,FALSE)</f>
        <v>Control</v>
      </c>
      <c r="B1248">
        <f>VLOOKUP(C1248,'[2]Ensaio 1'!$A$2:$F$28,6,FALSE)</f>
        <v>3</v>
      </c>
      <c r="C1248" s="36">
        <v>960000003688522</v>
      </c>
      <c r="D1248" s="36">
        <v>960000003688522</v>
      </c>
      <c r="E1248" s="1">
        <f t="shared" si="19"/>
        <v>44998</v>
      </c>
      <c r="F1248" s="51">
        <v>44998.620601851799</v>
      </c>
      <c r="G1248" s="51">
        <v>44998.622962963003</v>
      </c>
      <c r="H1248" s="52">
        <v>2.303240740741E-3</v>
      </c>
      <c r="I1248">
        <v>14.894444465637207</v>
      </c>
      <c r="J1248">
        <v>7120.2166580890798</v>
      </c>
      <c r="K1248">
        <v>108.281001548737</v>
      </c>
    </row>
    <row r="1249" spans="1:11" x14ac:dyDescent="0.25">
      <c r="A1249" t="str">
        <f>VLOOKUP(C1249,'[2]Ensaio 1'!$A$2:$E$28,5,FALSE)</f>
        <v>Control</v>
      </c>
      <c r="B1249">
        <f>VLOOKUP(C1249,'[2]Ensaio 1'!$A$2:$F$28,6,FALSE)</f>
        <v>3</v>
      </c>
      <c r="C1249" s="36">
        <v>900248002084626</v>
      </c>
      <c r="D1249" s="36">
        <v>900248002084626</v>
      </c>
      <c r="E1249" s="1">
        <f t="shared" si="19"/>
        <v>44998</v>
      </c>
      <c r="F1249" s="51">
        <v>44998.667280092603</v>
      </c>
      <c r="G1249" s="51">
        <v>44998.671261574098</v>
      </c>
      <c r="H1249" s="52">
        <v>3.8310185185190001E-3</v>
      </c>
      <c r="I1249">
        <v>16.01472282409668</v>
      </c>
      <c r="J1249">
        <v>8767.51587110525</v>
      </c>
      <c r="K1249">
        <v>108.329412662287</v>
      </c>
    </row>
    <row r="1250" spans="1:11" x14ac:dyDescent="0.25">
      <c r="A1250" t="str">
        <f>VLOOKUP(C1250,'[2]Ensaio 1'!$A$2:$E$28,5,FALSE)</f>
        <v>Control</v>
      </c>
      <c r="B1250">
        <f>VLOOKUP(C1250,'[2]Ensaio 1'!$A$2:$F$28,6,FALSE)</f>
        <v>3</v>
      </c>
      <c r="C1250" s="36">
        <v>960000003664778</v>
      </c>
      <c r="D1250" s="36">
        <v>960000003664778</v>
      </c>
      <c r="E1250" s="1">
        <f t="shared" si="19"/>
        <v>44998</v>
      </c>
      <c r="F1250" s="51">
        <v>44998.682361111103</v>
      </c>
      <c r="G1250" s="51">
        <v>44998.686319444401</v>
      </c>
      <c r="H1250" s="52">
        <v>3.0671296296300001E-3</v>
      </c>
      <c r="I1250">
        <v>16.376667022705078</v>
      </c>
      <c r="J1250">
        <v>9486.89340693128</v>
      </c>
      <c r="K1250">
        <v>165.00981868191499</v>
      </c>
    </row>
    <row r="1251" spans="1:11" x14ac:dyDescent="0.25">
      <c r="A1251" t="str">
        <f>VLOOKUP(C1251,'[2]Ensaio 1'!$A$2:$E$28,5,FALSE)</f>
        <v>Control</v>
      </c>
      <c r="B1251">
        <f>VLOOKUP(C1251,'[2]Ensaio 1'!$A$2:$F$28,6,FALSE)</f>
        <v>3</v>
      </c>
      <c r="C1251" s="36">
        <v>960000003608633</v>
      </c>
      <c r="D1251" s="36">
        <v>960000003608633</v>
      </c>
      <c r="E1251" s="1">
        <f t="shared" si="19"/>
        <v>44998</v>
      </c>
      <c r="F1251" s="51">
        <v>44998.745023148098</v>
      </c>
      <c r="G1251" s="51">
        <v>44998.748900462997</v>
      </c>
      <c r="H1251" s="52">
        <v>3.3449074074069999E-3</v>
      </c>
      <c r="I1251">
        <v>17.880556106567383</v>
      </c>
      <c r="J1251">
        <v>10798.176465705399</v>
      </c>
      <c r="K1251">
        <v>137.98290311040699</v>
      </c>
    </row>
    <row r="1252" spans="1:11" x14ac:dyDescent="0.25">
      <c r="A1252" t="str">
        <f>VLOOKUP(C1252,'[2]Ensaio 1'!$A$2:$E$28,5,FALSE)</f>
        <v>Control</v>
      </c>
      <c r="B1252">
        <f>VLOOKUP(C1252,'[2]Ensaio 1'!$A$2:$F$28,6,FALSE)</f>
        <v>3</v>
      </c>
      <c r="C1252" s="36">
        <v>960000003664778</v>
      </c>
      <c r="D1252" s="36">
        <v>960000003664778</v>
      </c>
      <c r="E1252" s="1">
        <f t="shared" si="19"/>
        <v>44998</v>
      </c>
      <c r="F1252" s="51">
        <v>44998.9819907407</v>
      </c>
      <c r="G1252" s="51">
        <v>44998.9841087963</v>
      </c>
      <c r="H1252" s="52">
        <v>2.0833333333329998E-3</v>
      </c>
      <c r="I1252">
        <v>23.567777633666992</v>
      </c>
      <c r="J1252">
        <v>9439.8054768774691</v>
      </c>
      <c r="K1252">
        <v>134.01661532999</v>
      </c>
    </row>
    <row r="1253" spans="1:11" x14ac:dyDescent="0.25">
      <c r="A1253" t="str">
        <f>VLOOKUP(C1253,'[2]Ensaio 1'!$A$2:$E$28,5,FALSE)</f>
        <v>Control</v>
      </c>
      <c r="B1253">
        <f>VLOOKUP(C1253,'[2]Ensaio 1'!$A$2:$F$28,6,FALSE)</f>
        <v>3</v>
      </c>
      <c r="C1253" s="36">
        <v>960000003608633</v>
      </c>
      <c r="D1253" s="36">
        <v>960000003608633</v>
      </c>
      <c r="E1253" s="1">
        <f t="shared" si="19"/>
        <v>44998</v>
      </c>
      <c r="F1253" s="51">
        <v>44998.986608796302</v>
      </c>
      <c r="G1253" s="51">
        <v>44998.989537037</v>
      </c>
      <c r="H1253" s="52">
        <v>2.8587962962960001E-3</v>
      </c>
      <c r="I1253">
        <v>23.678611755371094</v>
      </c>
      <c r="J1253">
        <v>9744.6998926410506</v>
      </c>
      <c r="K1253">
        <v>86.140137160953998</v>
      </c>
    </row>
    <row r="1254" spans="1:11" x14ac:dyDescent="0.25">
      <c r="A1254" t="str">
        <f>VLOOKUP(C1254,'[2]Ensaio 1'!$A$2:$E$28,5,FALSE)</f>
        <v>Control</v>
      </c>
      <c r="B1254">
        <f>VLOOKUP(C1254,'[2]Ensaio 1'!$A$2:$F$28,6,FALSE)</f>
        <v>3</v>
      </c>
      <c r="C1254" s="36">
        <v>900248002084626</v>
      </c>
      <c r="D1254" s="36">
        <v>900248002084626</v>
      </c>
      <c r="E1254" s="1">
        <f t="shared" si="19"/>
        <v>44998</v>
      </c>
      <c r="F1254" s="51">
        <v>44998.998819444401</v>
      </c>
      <c r="G1254" s="51">
        <v>44999.003333333298</v>
      </c>
      <c r="H1254" s="52">
        <v>4.2592592592590002E-3</v>
      </c>
      <c r="I1254">
        <v>23.97166633605957</v>
      </c>
      <c r="J1254">
        <v>11062.4668843859</v>
      </c>
      <c r="K1254">
        <v>131.84016158573201</v>
      </c>
    </row>
    <row r="1255" spans="1:11" x14ac:dyDescent="0.25">
      <c r="A1255" t="str">
        <f>VLOOKUP(C1255,'[2]Ensaio 1'!$A$2:$E$28,5,FALSE)</f>
        <v>Control</v>
      </c>
      <c r="B1255">
        <f>VLOOKUP(C1255,'[2]Ensaio 1'!$A$2:$F$28,6,FALSE)</f>
        <v>3</v>
      </c>
      <c r="C1255" s="36">
        <v>960000003827766</v>
      </c>
      <c r="D1255" s="36">
        <v>960000003827766</v>
      </c>
      <c r="E1255" s="1">
        <f t="shared" si="19"/>
        <v>44999</v>
      </c>
      <c r="F1255" s="51">
        <v>44999.058587963002</v>
      </c>
      <c r="G1255" s="51">
        <v>44999.061724537001</v>
      </c>
      <c r="H1255" s="52">
        <v>2.8819444444439998E-3</v>
      </c>
      <c r="I1255">
        <v>1.4061111211776729</v>
      </c>
      <c r="J1255">
        <v>10560.1745232872</v>
      </c>
      <c r="K1255">
        <v>143.309165557396</v>
      </c>
    </row>
    <row r="1256" spans="1:11" x14ac:dyDescent="0.25">
      <c r="A1256" t="str">
        <f>VLOOKUP(C1256,'[2]Ensaio 1'!$A$2:$E$28,5,FALSE)</f>
        <v>Control</v>
      </c>
      <c r="B1256">
        <f>VLOOKUP(C1256,'[2]Ensaio 1'!$A$2:$F$28,6,FALSE)</f>
        <v>3</v>
      </c>
      <c r="C1256" s="36">
        <v>960000003608633</v>
      </c>
      <c r="D1256" s="36">
        <v>960000003608633</v>
      </c>
      <c r="E1256" s="1">
        <f t="shared" si="19"/>
        <v>44999</v>
      </c>
      <c r="F1256" s="51">
        <v>44999.081145833297</v>
      </c>
      <c r="G1256" s="51">
        <v>44999.091064814798</v>
      </c>
      <c r="H1256" s="52">
        <v>3.877314814815E-3</v>
      </c>
      <c r="I1256">
        <v>1.9474999904632571</v>
      </c>
      <c r="J1256">
        <v>9775.1098361292898</v>
      </c>
      <c r="K1256">
        <v>133.24079908033099</v>
      </c>
    </row>
    <row r="1257" spans="1:11" x14ac:dyDescent="0.25">
      <c r="A1257" t="str">
        <f>VLOOKUP(C1257,'[2]Ensaio 1'!$A$2:$E$28,5,FALSE)</f>
        <v>Control</v>
      </c>
      <c r="B1257">
        <f>VLOOKUP(C1257,'[2]Ensaio 1'!$A$2:$F$28,6,FALSE)</f>
        <v>3</v>
      </c>
      <c r="C1257" s="36">
        <v>960000003688522</v>
      </c>
      <c r="D1257" s="36">
        <v>960000003688522</v>
      </c>
      <c r="E1257" s="1">
        <f t="shared" si="19"/>
        <v>44999</v>
      </c>
      <c r="F1257" s="51">
        <v>44999.0930324074</v>
      </c>
      <c r="G1257" s="51">
        <v>44999.0953240741</v>
      </c>
      <c r="H1257" s="52">
        <v>2.1064814814809999E-3</v>
      </c>
      <c r="I1257">
        <v>2.2327778339385991</v>
      </c>
      <c r="J1257">
        <v>7764.4396448942198</v>
      </c>
      <c r="K1257">
        <v>119.115639872194</v>
      </c>
    </row>
    <row r="1258" spans="1:11" x14ac:dyDescent="0.25">
      <c r="A1258" t="str">
        <f>VLOOKUP(C1258,'[2]Ensaio 1'!$A$2:$E$28,5,FALSE)</f>
        <v>Control</v>
      </c>
      <c r="B1258">
        <f>VLOOKUP(C1258,'[2]Ensaio 1'!$A$2:$F$28,6,FALSE)</f>
        <v>3</v>
      </c>
      <c r="C1258" s="36">
        <v>960000003664778</v>
      </c>
      <c r="D1258" s="36">
        <v>960000003664778</v>
      </c>
      <c r="E1258" s="1">
        <f t="shared" si="19"/>
        <v>44999</v>
      </c>
      <c r="F1258" s="51">
        <v>44999.108449074098</v>
      </c>
      <c r="G1258" s="51">
        <v>44999.112314814804</v>
      </c>
      <c r="H1258" s="52">
        <v>3.80787037037E-3</v>
      </c>
      <c r="I1258">
        <v>2.6027777194976811</v>
      </c>
      <c r="J1258">
        <v>9213.6117506006703</v>
      </c>
      <c r="K1258">
        <v>117.47559959509699</v>
      </c>
    </row>
    <row r="1259" spans="1:11" x14ac:dyDescent="0.25">
      <c r="A1259" t="str">
        <f>VLOOKUP(C1259,'[2]Ensaio 1'!$A$2:$E$28,5,FALSE)</f>
        <v>Control</v>
      </c>
      <c r="B1259">
        <f>VLOOKUP(C1259,'[2]Ensaio 1'!$A$2:$F$28,6,FALSE)</f>
        <v>3</v>
      </c>
      <c r="C1259" s="36">
        <v>960000003827766</v>
      </c>
      <c r="D1259" s="36">
        <v>960000003827766</v>
      </c>
      <c r="E1259" s="1">
        <f t="shared" si="19"/>
        <v>44999</v>
      </c>
      <c r="F1259" s="51">
        <v>44999.282118055598</v>
      </c>
      <c r="G1259" s="51">
        <v>44999.285474536999</v>
      </c>
      <c r="H1259" s="52">
        <v>2.6851851851849998E-3</v>
      </c>
      <c r="I1259">
        <v>6.7708334922790527</v>
      </c>
      <c r="J1259">
        <v>9479.1374725534697</v>
      </c>
      <c r="K1259">
        <v>67.779931502587701</v>
      </c>
    </row>
    <row r="1260" spans="1:11" x14ac:dyDescent="0.25">
      <c r="A1260" t="str">
        <f>VLOOKUP(C1260,'[2]Ensaio 1'!$A$2:$E$28,5,FALSE)</f>
        <v>Control</v>
      </c>
      <c r="B1260">
        <f>VLOOKUP(C1260,'[2]Ensaio 1'!$A$2:$F$28,6,FALSE)</f>
        <v>3</v>
      </c>
      <c r="C1260" s="36">
        <v>960000003608633</v>
      </c>
      <c r="D1260" s="36">
        <v>960000003608633</v>
      </c>
      <c r="E1260" s="1">
        <f t="shared" si="19"/>
        <v>44999</v>
      </c>
      <c r="F1260" s="51">
        <v>44999.334745370397</v>
      </c>
      <c r="G1260" s="51">
        <v>44999.337719907402</v>
      </c>
      <c r="H1260" s="52">
        <v>2.939814814815E-3</v>
      </c>
      <c r="I1260">
        <v>8.0338888168334961</v>
      </c>
      <c r="J1260">
        <v>8009.5867130739098</v>
      </c>
      <c r="K1260">
        <v>99.995341446876196</v>
      </c>
    </row>
    <row r="1261" spans="1:11" x14ac:dyDescent="0.25">
      <c r="A1261" t="str">
        <f>VLOOKUP(C1261,'[2]Ensaio 1'!$A$2:$E$28,5,FALSE)</f>
        <v>Control</v>
      </c>
      <c r="B1261">
        <f>VLOOKUP(C1261,'[2]Ensaio 1'!$A$2:$F$28,6,FALSE)</f>
        <v>3</v>
      </c>
      <c r="C1261" s="36">
        <v>960000003664778</v>
      </c>
      <c r="D1261" s="36">
        <v>960000003664778</v>
      </c>
      <c r="E1261" s="1">
        <f t="shared" si="19"/>
        <v>44999</v>
      </c>
      <c r="F1261" s="51">
        <v>44999.344687500001</v>
      </c>
      <c r="G1261" s="51">
        <v>44999.348599536999</v>
      </c>
      <c r="H1261" s="52">
        <v>2.6620370370370001E-3</v>
      </c>
      <c r="I1261">
        <v>8.2725000381469727</v>
      </c>
      <c r="J1261">
        <v>8429.3491513279096</v>
      </c>
      <c r="K1261">
        <v>126.601110957724</v>
      </c>
    </row>
    <row r="1262" spans="1:11" x14ac:dyDescent="0.25">
      <c r="A1262" t="str">
        <f>VLOOKUP(C1262,'[2]Ensaio 1'!$A$2:$E$28,5,FALSE)</f>
        <v>Control</v>
      </c>
      <c r="B1262">
        <f>VLOOKUP(C1262,'[2]Ensaio 1'!$A$2:$F$28,6,FALSE)</f>
        <v>4</v>
      </c>
      <c r="C1262" s="36">
        <v>960000003599578</v>
      </c>
      <c r="D1262" s="36">
        <v>960000003599578</v>
      </c>
      <c r="E1262" s="1">
        <f t="shared" si="19"/>
        <v>44999</v>
      </c>
      <c r="F1262" s="51">
        <v>44999.356620370403</v>
      </c>
      <c r="G1262" s="51">
        <v>44999.359606481499</v>
      </c>
      <c r="H1262" s="52">
        <v>2.9282407407410001E-3</v>
      </c>
      <c r="I1262">
        <v>8.5588884353637695</v>
      </c>
      <c r="J1262">
        <v>10006.147739587999</v>
      </c>
      <c r="K1262">
        <v>182.93437969359201</v>
      </c>
    </row>
    <row r="1263" spans="1:11" x14ac:dyDescent="0.25">
      <c r="A1263" t="str">
        <f>VLOOKUP(C1263,'[2]Ensaio 1'!$A$2:$E$28,5,FALSE)</f>
        <v>Control</v>
      </c>
      <c r="B1263">
        <f>VLOOKUP(C1263,'[2]Ensaio 1'!$A$2:$F$28,6,FALSE)</f>
        <v>4</v>
      </c>
      <c r="C1263" s="36">
        <v>960000003687554</v>
      </c>
      <c r="D1263" s="36">
        <v>960000003687554</v>
      </c>
      <c r="E1263" s="1">
        <f t="shared" si="19"/>
        <v>44999</v>
      </c>
      <c r="F1263" s="51">
        <v>44999.3616203704</v>
      </c>
      <c r="G1263" s="51">
        <v>44999.365057870396</v>
      </c>
      <c r="H1263" s="52">
        <v>3.1828703703699998E-3</v>
      </c>
      <c r="I1263">
        <v>8.678889274597168</v>
      </c>
      <c r="J1263">
        <v>9964.5538502633608</v>
      </c>
      <c r="K1263">
        <v>140.08985394308601</v>
      </c>
    </row>
    <row r="1264" spans="1:11" x14ac:dyDescent="0.25">
      <c r="A1264" t="str">
        <f>VLOOKUP(C1264,'[2]Ensaio 1'!$A$2:$E$28,5,FALSE)</f>
        <v>Control</v>
      </c>
      <c r="B1264">
        <f>VLOOKUP(C1264,'[2]Ensaio 1'!$A$2:$F$28,6,FALSE)</f>
        <v>4</v>
      </c>
      <c r="C1264" s="36">
        <v>960000003516091</v>
      </c>
      <c r="D1264" s="36">
        <v>960000003516091</v>
      </c>
      <c r="E1264" s="1">
        <f t="shared" si="19"/>
        <v>44999</v>
      </c>
      <c r="F1264" s="51">
        <v>44999.365937499999</v>
      </c>
      <c r="G1264" s="51">
        <v>44999.368206018502</v>
      </c>
      <c r="H1264" s="52">
        <v>2.1527777777779998E-3</v>
      </c>
      <c r="I1264">
        <v>8.7825002670288086</v>
      </c>
      <c r="J1264">
        <v>10224.721754582601</v>
      </c>
      <c r="K1264">
        <v>151.409358046455</v>
      </c>
    </row>
    <row r="1265" spans="1:11" x14ac:dyDescent="0.25">
      <c r="A1265" t="str">
        <f>VLOOKUP(C1265,'[2]Ensaio 1'!$A$2:$E$28,5,FALSE)</f>
        <v>Control</v>
      </c>
      <c r="B1265">
        <f>VLOOKUP(C1265,'[2]Ensaio 1'!$A$2:$F$28,6,FALSE)</f>
        <v>4</v>
      </c>
      <c r="C1265" s="36">
        <v>960000003688521</v>
      </c>
      <c r="D1265" s="36">
        <v>960000003688521</v>
      </c>
      <c r="E1265" s="1">
        <f t="shared" si="19"/>
        <v>44999</v>
      </c>
      <c r="F1265" s="51">
        <v>44999.372210648202</v>
      </c>
      <c r="G1265" s="51">
        <v>44999.374791666698</v>
      </c>
      <c r="H1265" s="52">
        <v>2.3611111111110001E-3</v>
      </c>
      <c r="I1265">
        <v>8.9330558776855469</v>
      </c>
      <c r="J1265">
        <v>8793.6522484547295</v>
      </c>
      <c r="K1265">
        <v>131.94823266573599</v>
      </c>
    </row>
    <row r="1266" spans="1:11" x14ac:dyDescent="0.25">
      <c r="A1266" t="str">
        <f>VLOOKUP(C1266,'[2]Ensaio 1'!$A$2:$E$28,5,FALSE)</f>
        <v>Control</v>
      </c>
      <c r="B1266">
        <f>VLOOKUP(C1266,'[2]Ensaio 1'!$A$2:$F$28,6,FALSE)</f>
        <v>4</v>
      </c>
      <c r="C1266" s="36">
        <v>960000003688521</v>
      </c>
      <c r="D1266" s="36">
        <v>960000003688521</v>
      </c>
      <c r="E1266" s="1">
        <f t="shared" si="19"/>
        <v>44999</v>
      </c>
      <c r="F1266" s="51">
        <v>44999.406469907401</v>
      </c>
      <c r="G1266" s="51">
        <v>44999.408171296302</v>
      </c>
      <c r="H1266" s="52">
        <v>1.6782407407409999E-3</v>
      </c>
      <c r="I1266">
        <v>9.7552776336669922</v>
      </c>
      <c r="J1266">
        <v>7824.6643610247002</v>
      </c>
      <c r="K1266">
        <v>137.07603690975199</v>
      </c>
    </row>
    <row r="1267" spans="1:11" x14ac:dyDescent="0.25">
      <c r="A1267" t="str">
        <f>VLOOKUP(C1267,'[2]Ensaio 1'!$A$2:$E$28,5,FALSE)</f>
        <v>Control</v>
      </c>
      <c r="B1267">
        <f>VLOOKUP(C1267,'[2]Ensaio 1'!$A$2:$F$28,6,FALSE)</f>
        <v>4</v>
      </c>
      <c r="C1267" s="36">
        <v>960000003688523</v>
      </c>
      <c r="D1267" s="36">
        <v>960000003688523</v>
      </c>
      <c r="E1267" s="1">
        <f t="shared" si="19"/>
        <v>44999</v>
      </c>
      <c r="F1267" s="51">
        <v>44999.445648148103</v>
      </c>
      <c r="G1267" s="51">
        <v>44999.449131944399</v>
      </c>
      <c r="H1267" s="52">
        <v>3.4259259259260002E-3</v>
      </c>
      <c r="I1267">
        <v>10.695555686950684</v>
      </c>
      <c r="J1267">
        <v>9400.4306533721701</v>
      </c>
      <c r="K1267">
        <v>122.827266127656</v>
      </c>
    </row>
    <row r="1268" spans="1:11" x14ac:dyDescent="0.25">
      <c r="A1268" t="str">
        <f>VLOOKUP(C1268,'[2]Ensaio 1'!$A$2:$E$28,5,FALSE)</f>
        <v>Control</v>
      </c>
      <c r="B1268">
        <f>VLOOKUP(C1268,'[2]Ensaio 1'!$A$2:$F$28,6,FALSE)</f>
        <v>4</v>
      </c>
      <c r="C1268" s="36">
        <v>960000003599578</v>
      </c>
      <c r="D1268" s="36">
        <v>960000003599578</v>
      </c>
      <c r="E1268" s="1">
        <f t="shared" si="19"/>
        <v>44999</v>
      </c>
      <c r="F1268" s="51">
        <v>44999.4500694444</v>
      </c>
      <c r="G1268" s="51">
        <v>44999.452071759297</v>
      </c>
      <c r="H1268" s="52">
        <v>1.921296296296E-3</v>
      </c>
      <c r="I1268">
        <v>10.801666259765625</v>
      </c>
      <c r="J1268">
        <v>10174.458078153</v>
      </c>
      <c r="K1268">
        <v>227.397811163667</v>
      </c>
    </row>
    <row r="1269" spans="1:11" x14ac:dyDescent="0.25">
      <c r="A1269" t="str">
        <f>VLOOKUP(C1269,'[2]Ensaio 1'!$A$2:$E$28,5,FALSE)</f>
        <v>Control</v>
      </c>
      <c r="B1269">
        <f>VLOOKUP(C1269,'[2]Ensaio 1'!$A$2:$F$28,6,FALSE)</f>
        <v>4</v>
      </c>
      <c r="C1269" s="36">
        <v>960000003687554</v>
      </c>
      <c r="D1269" s="36">
        <v>960000003687554</v>
      </c>
      <c r="E1269" s="1">
        <f t="shared" si="19"/>
        <v>44999</v>
      </c>
      <c r="F1269" s="51">
        <v>44999.572280092601</v>
      </c>
      <c r="G1269" s="51">
        <v>44999.576076388897</v>
      </c>
      <c r="H1269" s="52">
        <v>2.8935185185190002E-3</v>
      </c>
      <c r="I1269">
        <v>13.734722137451172</v>
      </c>
      <c r="J1269">
        <v>8737.9984806107695</v>
      </c>
      <c r="K1269">
        <v>106.839763546417</v>
      </c>
    </row>
    <row r="1270" spans="1:11" x14ac:dyDescent="0.25">
      <c r="A1270" t="str">
        <f>VLOOKUP(C1270,'[2]Ensaio 1'!$A$2:$E$28,5,FALSE)</f>
        <v>Control</v>
      </c>
      <c r="B1270">
        <f>VLOOKUP(C1270,'[2]Ensaio 1'!$A$2:$F$28,6,FALSE)</f>
        <v>4</v>
      </c>
      <c r="C1270" s="36">
        <v>960000003599578</v>
      </c>
      <c r="D1270" s="36">
        <v>960000003599578</v>
      </c>
      <c r="E1270" s="1">
        <f t="shared" si="19"/>
        <v>44999</v>
      </c>
      <c r="F1270" s="51">
        <v>44999.5766435185</v>
      </c>
      <c r="G1270" s="51">
        <v>44999.580902777801</v>
      </c>
      <c r="H1270" s="52">
        <v>2.6157407407409999E-3</v>
      </c>
      <c r="I1270">
        <v>13.839444160461426</v>
      </c>
      <c r="J1270">
        <v>9992.6793017207092</v>
      </c>
      <c r="K1270">
        <v>230.760883712203</v>
      </c>
    </row>
    <row r="1271" spans="1:11" x14ac:dyDescent="0.25">
      <c r="A1271" t="str">
        <f>VLOOKUP(C1271,'[2]Ensaio 1'!$A$2:$E$28,5,FALSE)</f>
        <v>Control</v>
      </c>
      <c r="B1271">
        <f>VLOOKUP(C1271,'[2]Ensaio 1'!$A$2:$F$28,6,FALSE)</f>
        <v>4</v>
      </c>
      <c r="C1271" s="36">
        <v>960000003688521</v>
      </c>
      <c r="D1271" s="36">
        <v>960000003688521</v>
      </c>
      <c r="E1271" s="1">
        <f t="shared" si="19"/>
        <v>44999</v>
      </c>
      <c r="F1271" s="51">
        <v>44999.604097222204</v>
      </c>
      <c r="G1271" s="51">
        <v>44999.608449074098</v>
      </c>
      <c r="H1271" s="52">
        <v>4.2824074074069999E-3</v>
      </c>
      <c r="I1271">
        <v>14.498332977294922</v>
      </c>
      <c r="J1271">
        <v>9065.7644520572903</v>
      </c>
      <c r="K1271">
        <v>143.74130413884399</v>
      </c>
    </row>
    <row r="1272" spans="1:11" x14ac:dyDescent="0.25">
      <c r="A1272" t="str">
        <f>VLOOKUP(C1272,'[2]Ensaio 1'!$A$2:$E$28,5,FALSE)</f>
        <v>Control</v>
      </c>
      <c r="B1272">
        <f>VLOOKUP(C1272,'[2]Ensaio 1'!$A$2:$F$28,6,FALSE)</f>
        <v>4</v>
      </c>
      <c r="C1272" s="36">
        <v>960000003516091</v>
      </c>
      <c r="D1272" s="36">
        <v>960000003516091</v>
      </c>
      <c r="E1272" s="1">
        <f t="shared" si="19"/>
        <v>44999</v>
      </c>
      <c r="F1272" s="51">
        <v>44999.660462963002</v>
      </c>
      <c r="G1272" s="51">
        <v>44999.664050925901</v>
      </c>
      <c r="H1272" s="52">
        <v>3.0787037037039999E-3</v>
      </c>
      <c r="I1272">
        <v>15.85111141204834</v>
      </c>
      <c r="J1272">
        <v>7888.4103598935899</v>
      </c>
      <c r="K1272">
        <v>86.944972368917703</v>
      </c>
    </row>
    <row r="1273" spans="1:11" x14ac:dyDescent="0.25">
      <c r="A1273" t="str">
        <f>VLOOKUP(C1273,'[2]Ensaio 1'!$A$2:$E$28,5,FALSE)</f>
        <v>Control</v>
      </c>
      <c r="B1273">
        <f>VLOOKUP(C1273,'[2]Ensaio 1'!$A$2:$F$28,6,FALSE)</f>
        <v>4</v>
      </c>
      <c r="C1273" s="36">
        <v>960000003688523</v>
      </c>
      <c r="D1273" s="36">
        <v>960000003688523</v>
      </c>
      <c r="E1273" s="1">
        <f t="shared" si="19"/>
        <v>44999</v>
      </c>
      <c r="F1273" s="51">
        <v>44999.6809027778</v>
      </c>
      <c r="G1273" s="51">
        <v>44999.6933796296</v>
      </c>
      <c r="H1273" s="52">
        <v>1.1203703703704E-2</v>
      </c>
      <c r="I1273">
        <v>16.341667175292969</v>
      </c>
      <c r="J1273">
        <v>11030.90597568</v>
      </c>
      <c r="K1273">
        <v>202.585028357569</v>
      </c>
    </row>
    <row r="1274" spans="1:11" x14ac:dyDescent="0.25">
      <c r="A1274" t="str">
        <f>VLOOKUP(C1274,'[2]Ensaio 1'!$A$2:$E$28,5,FALSE)</f>
        <v>Control</v>
      </c>
      <c r="B1274">
        <f>VLOOKUP(C1274,'[2]Ensaio 1'!$A$2:$F$28,6,FALSE)</f>
        <v>4</v>
      </c>
      <c r="C1274" s="36">
        <v>960000003599578</v>
      </c>
      <c r="D1274" s="36">
        <v>960000003599578</v>
      </c>
      <c r="E1274" s="1">
        <f t="shared" si="19"/>
        <v>44999</v>
      </c>
      <c r="F1274" s="51">
        <v>44999.694837962998</v>
      </c>
      <c r="G1274" s="51">
        <v>44999.697222222203</v>
      </c>
      <c r="H1274" s="52">
        <v>2.3611111111110001E-3</v>
      </c>
      <c r="I1274">
        <v>16.676111221313477</v>
      </c>
      <c r="J1274">
        <v>9499.7449963675008</v>
      </c>
      <c r="K1274">
        <v>190.04048672305299</v>
      </c>
    </row>
    <row r="1275" spans="1:11" x14ac:dyDescent="0.25">
      <c r="A1275" t="str">
        <f>VLOOKUP(C1275,'[2]Ensaio 1'!$A$2:$E$28,5,FALSE)</f>
        <v>Control</v>
      </c>
      <c r="B1275">
        <f>VLOOKUP(C1275,'[2]Ensaio 1'!$A$2:$F$28,6,FALSE)</f>
        <v>4</v>
      </c>
      <c r="C1275" s="36">
        <v>960000003687554</v>
      </c>
      <c r="D1275" s="36">
        <v>960000003687554</v>
      </c>
      <c r="E1275" s="1">
        <f t="shared" si="19"/>
        <v>44999</v>
      </c>
      <c r="F1275" s="51">
        <v>44999.809965277796</v>
      </c>
      <c r="G1275" s="51">
        <v>44999.813506944403</v>
      </c>
      <c r="H1275" s="52">
        <v>3.4490740740739999E-3</v>
      </c>
      <c r="I1275">
        <v>19.439167022705078</v>
      </c>
      <c r="J1275">
        <v>12048.327372616901</v>
      </c>
      <c r="K1275">
        <v>242.64947519173299</v>
      </c>
    </row>
    <row r="1276" spans="1:11" x14ac:dyDescent="0.25">
      <c r="A1276" t="str">
        <f>VLOOKUP(C1276,'[2]Ensaio 1'!$A$2:$E$28,5,FALSE)</f>
        <v>Control</v>
      </c>
      <c r="B1276">
        <f>VLOOKUP(C1276,'[2]Ensaio 1'!$A$2:$F$28,6,FALSE)</f>
        <v>4</v>
      </c>
      <c r="C1276" s="36">
        <v>960000003599578</v>
      </c>
      <c r="D1276" s="36">
        <v>960000003599578</v>
      </c>
      <c r="E1276" s="1">
        <f t="shared" si="19"/>
        <v>44999</v>
      </c>
      <c r="F1276" s="51">
        <v>44999.814456018503</v>
      </c>
      <c r="G1276" s="51">
        <v>44999.818506944401</v>
      </c>
      <c r="H1276" s="52">
        <v>3.7268518518520002E-3</v>
      </c>
      <c r="I1276">
        <v>19.546943664550781</v>
      </c>
      <c r="J1276">
        <v>12700.530825248999</v>
      </c>
      <c r="K1276">
        <v>254.681220957157</v>
      </c>
    </row>
    <row r="1277" spans="1:11" x14ac:dyDescent="0.25">
      <c r="A1277" t="str">
        <f>VLOOKUP(C1277,'[2]Ensaio 1'!$A$2:$E$28,5,FALSE)</f>
        <v>Control</v>
      </c>
      <c r="B1277">
        <f>VLOOKUP(C1277,'[2]Ensaio 1'!$A$2:$F$28,6,FALSE)</f>
        <v>4</v>
      </c>
      <c r="C1277" s="36">
        <v>960000003688521</v>
      </c>
      <c r="D1277" s="36">
        <v>960000003688521</v>
      </c>
      <c r="E1277" s="1">
        <f t="shared" si="19"/>
        <v>44999</v>
      </c>
      <c r="F1277" s="51">
        <v>44999.821284722202</v>
      </c>
      <c r="G1277" s="51">
        <v>44999.824918981503</v>
      </c>
      <c r="H1277" s="52">
        <v>3.4375E-3</v>
      </c>
      <c r="I1277">
        <v>19.710832595825195</v>
      </c>
      <c r="J1277">
        <v>9128.3450550653597</v>
      </c>
      <c r="K1277">
        <v>96.965147696357207</v>
      </c>
    </row>
    <row r="1278" spans="1:11" x14ac:dyDescent="0.25">
      <c r="A1278" t="str">
        <f>VLOOKUP(C1278,'[2]Ensaio 1'!$A$2:$E$28,5,FALSE)</f>
        <v>Control</v>
      </c>
      <c r="B1278">
        <f>VLOOKUP(C1278,'[2]Ensaio 1'!$A$2:$F$28,6,FALSE)</f>
        <v>4</v>
      </c>
      <c r="C1278" s="36">
        <v>960000003599578</v>
      </c>
      <c r="D1278" s="36">
        <v>960000003599578</v>
      </c>
      <c r="E1278" s="1">
        <f t="shared" si="19"/>
        <v>44999</v>
      </c>
      <c r="F1278" s="51">
        <v>44999.831400463001</v>
      </c>
      <c r="G1278" s="51">
        <v>44999.8331944444</v>
      </c>
      <c r="H1278" s="52">
        <v>1.770833333333E-3</v>
      </c>
      <c r="I1278">
        <v>19.953611373901367</v>
      </c>
      <c r="J1278">
        <v>10667.227563786801</v>
      </c>
      <c r="K1278">
        <v>189.702554933898</v>
      </c>
    </row>
    <row r="1279" spans="1:11" x14ac:dyDescent="0.25">
      <c r="A1279" t="str">
        <f>VLOOKUP(C1279,'[2]Ensaio 1'!$A$2:$E$28,5,FALSE)</f>
        <v>Control</v>
      </c>
      <c r="B1279">
        <f>VLOOKUP(C1279,'[2]Ensaio 1'!$A$2:$F$28,6,FALSE)</f>
        <v>4</v>
      </c>
      <c r="C1279" s="36">
        <v>960000003516091</v>
      </c>
      <c r="D1279" s="36">
        <v>960000003516091</v>
      </c>
      <c r="E1279" s="1">
        <f t="shared" si="19"/>
        <v>44999</v>
      </c>
      <c r="F1279" s="51">
        <v>44999.986701388902</v>
      </c>
      <c r="G1279" s="51">
        <v>44999.990949074097</v>
      </c>
      <c r="H1279" s="52">
        <v>2.604166666667E-3</v>
      </c>
      <c r="I1279">
        <v>23.68083381652832</v>
      </c>
      <c r="J1279">
        <v>9810.7326873781094</v>
      </c>
      <c r="K1279">
        <v>160.14832218240599</v>
      </c>
    </row>
    <row r="1280" spans="1:11" x14ac:dyDescent="0.25">
      <c r="A1280" t="str">
        <f>VLOOKUP(C1280,'[2]Ensaio 1'!$A$2:$E$28,5,FALSE)</f>
        <v>Control</v>
      </c>
      <c r="B1280">
        <f>VLOOKUP(C1280,'[2]Ensaio 1'!$A$2:$F$28,6,FALSE)</f>
        <v>4</v>
      </c>
      <c r="C1280" s="36">
        <v>960000003599578</v>
      </c>
      <c r="D1280" s="36">
        <v>960000003599578</v>
      </c>
      <c r="E1280" s="1">
        <f t="shared" si="19"/>
        <v>45000</v>
      </c>
      <c r="F1280" s="51">
        <v>45000.049525463</v>
      </c>
      <c r="G1280" s="51">
        <v>45000.053854166697</v>
      </c>
      <c r="H1280" s="52">
        <v>4.2824074074069999E-3</v>
      </c>
      <c r="I1280">
        <v>1.1886111497879031</v>
      </c>
      <c r="J1280">
        <v>10389.4251132972</v>
      </c>
      <c r="K1280">
        <v>182.048836549844</v>
      </c>
    </row>
    <row r="1281" spans="1:11" x14ac:dyDescent="0.25">
      <c r="A1281" t="str">
        <f>VLOOKUP(C1281,'[2]Ensaio 1'!$A$2:$E$28,5,FALSE)</f>
        <v>Control</v>
      </c>
      <c r="B1281">
        <f>VLOOKUP(C1281,'[2]Ensaio 1'!$A$2:$F$28,6,FALSE)</f>
        <v>4</v>
      </c>
      <c r="C1281" s="36">
        <v>960000003688521</v>
      </c>
      <c r="D1281" s="36">
        <v>960000003688521</v>
      </c>
      <c r="E1281" s="1">
        <f t="shared" si="19"/>
        <v>45000</v>
      </c>
      <c r="F1281" s="51">
        <v>45000.115983796299</v>
      </c>
      <c r="G1281" s="51">
        <v>45000.118865740696</v>
      </c>
      <c r="H1281" s="52">
        <v>2.6851851851849998E-3</v>
      </c>
      <c r="I1281">
        <v>2.7836110591888432</v>
      </c>
      <c r="J1281">
        <v>10790.469984354701</v>
      </c>
      <c r="K1281">
        <v>192.64477276544901</v>
      </c>
    </row>
    <row r="1282" spans="1:11" x14ac:dyDescent="0.25">
      <c r="A1282" t="str">
        <f>VLOOKUP(C1282,'[2]Ensaio 1'!$A$2:$E$28,5,FALSE)</f>
        <v>Control</v>
      </c>
      <c r="B1282">
        <f>VLOOKUP(C1282,'[2]Ensaio 1'!$A$2:$F$28,6,FALSE)</f>
        <v>4</v>
      </c>
      <c r="C1282" s="36">
        <v>960000003687554</v>
      </c>
      <c r="D1282" s="36">
        <v>960000003687554</v>
      </c>
      <c r="E1282" s="1">
        <f t="shared" ref="E1282:E1345" si="20">ROUNDDOWN(LEFT(F1282,10),0)</f>
        <v>45000</v>
      </c>
      <c r="F1282" s="51">
        <v>45000.149756944404</v>
      </c>
      <c r="G1282" s="51">
        <v>45000.153773148202</v>
      </c>
      <c r="H1282" s="52">
        <v>3.1481481481479999E-3</v>
      </c>
      <c r="I1282">
        <v>3.59416675567627</v>
      </c>
      <c r="J1282">
        <v>10362.2640781595</v>
      </c>
      <c r="K1282">
        <v>118.290790391372</v>
      </c>
    </row>
    <row r="1283" spans="1:11" x14ac:dyDescent="0.25">
      <c r="A1283" t="str">
        <f>VLOOKUP(C1283,'[2]Ensaio 1'!$A$2:$E$28,5,FALSE)</f>
        <v>Control</v>
      </c>
      <c r="B1283">
        <f>VLOOKUP(C1283,'[2]Ensaio 1'!$A$2:$F$28,6,FALSE)</f>
        <v>4</v>
      </c>
      <c r="C1283" s="36">
        <v>960000003516091</v>
      </c>
      <c r="D1283" s="36">
        <v>960000003516091</v>
      </c>
      <c r="E1283" s="1">
        <f t="shared" si="20"/>
        <v>45000</v>
      </c>
      <c r="F1283" s="51">
        <v>45000.264039351903</v>
      </c>
      <c r="G1283" s="51">
        <v>45000.267500000002</v>
      </c>
      <c r="H1283" s="52">
        <v>3.1944444444440001E-3</v>
      </c>
      <c r="I1283">
        <v>6.336944580078125</v>
      </c>
      <c r="J1283">
        <v>7735.51381322829</v>
      </c>
      <c r="K1283">
        <v>85.469866933491105</v>
      </c>
    </row>
    <row r="1284" spans="1:11" x14ac:dyDescent="0.25">
      <c r="A1284" t="str">
        <f>VLOOKUP(C1284,'[2]Ensaio 1'!$A$2:$E$28,5,FALSE)</f>
        <v>Control</v>
      </c>
      <c r="B1284">
        <f>VLOOKUP(C1284,'[2]Ensaio 1'!$A$2:$F$28,6,FALSE)</f>
        <v>4</v>
      </c>
      <c r="C1284" s="36">
        <v>960000003599578</v>
      </c>
      <c r="D1284" s="36">
        <v>960000003599578</v>
      </c>
      <c r="E1284" s="1">
        <f t="shared" si="20"/>
        <v>45000</v>
      </c>
      <c r="F1284" s="51">
        <v>45000.269074074102</v>
      </c>
      <c r="G1284" s="51">
        <v>45000.275520833296</v>
      </c>
      <c r="H1284" s="52">
        <v>4.3171296296300003E-3</v>
      </c>
      <c r="I1284">
        <v>6.4577779769897461</v>
      </c>
      <c r="J1284">
        <v>9755.3588145560607</v>
      </c>
      <c r="K1284">
        <v>115.009843514835</v>
      </c>
    </row>
    <row r="1285" spans="1:11" x14ac:dyDescent="0.25">
      <c r="A1285" t="str">
        <f>VLOOKUP(C1285,'[2]Ensaio 1'!$A$2:$E$28,5,FALSE)</f>
        <v>Control</v>
      </c>
      <c r="B1285">
        <f>VLOOKUP(C1285,'[2]Ensaio 1'!$A$2:$F$28,6,FALSE)</f>
        <v>4</v>
      </c>
      <c r="C1285" s="36">
        <v>960000003688521</v>
      </c>
      <c r="D1285" s="36">
        <v>960000003688521</v>
      </c>
      <c r="E1285" s="1">
        <f t="shared" si="20"/>
        <v>45000</v>
      </c>
      <c r="F1285" s="51">
        <v>45000.356585648202</v>
      </c>
      <c r="G1285" s="51">
        <v>45000.359849537002</v>
      </c>
      <c r="H1285" s="52">
        <v>2.939814814815E-3</v>
      </c>
      <c r="I1285">
        <v>8.5580558776855469</v>
      </c>
      <c r="J1285">
        <v>8746.4103921260194</v>
      </c>
      <c r="K1285">
        <v>78.641351096234501</v>
      </c>
    </row>
    <row r="1286" spans="1:11" x14ac:dyDescent="0.25">
      <c r="A1286" t="str">
        <f>VLOOKUP(C1286,'[2]Ensaio 1'!$A$2:$E$28,5,FALSE)</f>
        <v>Control</v>
      </c>
      <c r="B1286">
        <f>VLOOKUP(C1286,'[2]Ensaio 1'!$A$2:$F$28,6,FALSE)</f>
        <v>4</v>
      </c>
      <c r="C1286" s="36">
        <v>960000003687554</v>
      </c>
      <c r="D1286" s="36">
        <v>960000003687554</v>
      </c>
      <c r="E1286" s="1">
        <f t="shared" si="20"/>
        <v>45000</v>
      </c>
      <c r="F1286" s="51">
        <v>45000.369791666701</v>
      </c>
      <c r="G1286" s="51">
        <v>45000.372546296298</v>
      </c>
      <c r="H1286" s="52">
        <v>2.7199074074070002E-3</v>
      </c>
      <c r="I1286">
        <v>8.875</v>
      </c>
      <c r="J1286">
        <v>10309.866966031201</v>
      </c>
      <c r="K1286">
        <v>144.061045621787</v>
      </c>
    </row>
    <row r="1287" spans="1:11" x14ac:dyDescent="0.25">
      <c r="A1287" t="str">
        <f>VLOOKUP(C1287,'[2]Ensaio 1'!$A$2:$E$28,5,FALSE)</f>
        <v>Control</v>
      </c>
      <c r="B1287">
        <f>VLOOKUP(C1287,'[2]Ensaio 1'!$A$2:$F$28,6,FALSE)</f>
        <v>4</v>
      </c>
      <c r="C1287" s="36">
        <v>960000003599578</v>
      </c>
      <c r="D1287" s="36">
        <v>960000003599578</v>
      </c>
      <c r="E1287" s="1">
        <f t="shared" si="20"/>
        <v>45000</v>
      </c>
      <c r="F1287" s="51">
        <v>45000.374050925901</v>
      </c>
      <c r="G1287" s="51">
        <v>45000.376030092601</v>
      </c>
      <c r="H1287" s="52">
        <v>1.7129629629630001E-3</v>
      </c>
      <c r="I1287">
        <v>8.9772224426269531</v>
      </c>
      <c r="J1287">
        <v>9495.6342064561304</v>
      </c>
      <c r="K1287">
        <v>155.41931689618801</v>
      </c>
    </row>
    <row r="1288" spans="1:11" x14ac:dyDescent="0.25">
      <c r="A1288" t="str">
        <f>VLOOKUP(C1288,'[2]Ensaio 1'!$A$2:$E$28,5,FALSE)</f>
        <v>Control</v>
      </c>
      <c r="B1288">
        <f>VLOOKUP(C1288,'[2]Ensaio 1'!$A$2:$F$28,6,FALSE)</f>
        <v>4</v>
      </c>
      <c r="C1288" s="36">
        <v>960000003688523</v>
      </c>
      <c r="D1288" s="36">
        <v>960000003688523</v>
      </c>
      <c r="E1288" s="1">
        <f t="shared" si="20"/>
        <v>45000</v>
      </c>
      <c r="F1288" s="51">
        <v>45000.437928240703</v>
      </c>
      <c r="G1288" s="51">
        <v>45000.443749999999</v>
      </c>
      <c r="H1288" s="52">
        <v>5.3703703703699996E-3</v>
      </c>
      <c r="I1288">
        <v>10.51027774810791</v>
      </c>
      <c r="J1288">
        <v>9085.0918633617002</v>
      </c>
      <c r="K1288">
        <v>111.81276514371299</v>
      </c>
    </row>
    <row r="1289" spans="1:11" x14ac:dyDescent="0.25">
      <c r="A1289" t="str">
        <f>VLOOKUP(C1289,'[2]Ensaio 1'!$A$2:$E$28,5,FALSE)</f>
        <v>Control</v>
      </c>
      <c r="B1289">
        <f>VLOOKUP(C1289,'[2]Ensaio 1'!$A$2:$F$28,6,FALSE)</f>
        <v>4</v>
      </c>
      <c r="C1289" s="36">
        <v>960000003599578</v>
      </c>
      <c r="D1289" s="36">
        <v>960000003599578</v>
      </c>
      <c r="E1289" s="1">
        <f t="shared" si="20"/>
        <v>45000</v>
      </c>
      <c r="F1289" s="51">
        <v>45000.445370370398</v>
      </c>
      <c r="G1289" s="51">
        <v>45000.447418981501</v>
      </c>
      <c r="H1289" s="52">
        <v>1.7939814814810001E-3</v>
      </c>
      <c r="I1289">
        <v>10.688888549804688</v>
      </c>
      <c r="J1289">
        <v>10373.511738589001</v>
      </c>
      <c r="K1289">
        <v>136.26564054485701</v>
      </c>
    </row>
    <row r="1290" spans="1:11" x14ac:dyDescent="0.25">
      <c r="A1290" t="str">
        <f>VLOOKUP(C1290,'[2]Ensaio 1'!$A$2:$E$28,5,FALSE)</f>
        <v>Control</v>
      </c>
      <c r="B1290">
        <f>VLOOKUP(C1290,'[2]Ensaio 1'!$A$2:$F$28,6,FALSE)</f>
        <v>4</v>
      </c>
      <c r="C1290" s="36">
        <v>960000003599578</v>
      </c>
      <c r="D1290" s="36">
        <v>960000003599578</v>
      </c>
      <c r="E1290" s="1">
        <f t="shared" si="20"/>
        <v>45000</v>
      </c>
      <c r="F1290" s="51">
        <v>45000.503692129598</v>
      </c>
      <c r="G1290" s="51">
        <v>45000.506759259297</v>
      </c>
      <c r="H1290" s="52">
        <v>3.0208333333330002E-3</v>
      </c>
      <c r="I1290">
        <v>12.088610649108887</v>
      </c>
      <c r="J1290">
        <v>10441.672201761799</v>
      </c>
      <c r="K1290">
        <v>183.565178144009</v>
      </c>
    </row>
    <row r="1291" spans="1:11" x14ac:dyDescent="0.25">
      <c r="A1291" t="str">
        <f>VLOOKUP(C1291,'[2]Ensaio 1'!$A$2:$E$28,5,FALSE)</f>
        <v>Control</v>
      </c>
      <c r="B1291">
        <f>VLOOKUP(C1291,'[2]Ensaio 1'!$A$2:$F$28,6,FALSE)</f>
        <v>4</v>
      </c>
      <c r="C1291" s="36">
        <v>960000003516091</v>
      </c>
      <c r="D1291" s="36">
        <v>960000003516091</v>
      </c>
      <c r="E1291" s="1">
        <f t="shared" si="20"/>
        <v>45000</v>
      </c>
      <c r="F1291" s="51">
        <v>45000.5090277778</v>
      </c>
      <c r="G1291" s="51">
        <v>45000.513599537</v>
      </c>
      <c r="H1291" s="52">
        <v>4.340277777778E-3</v>
      </c>
      <c r="I1291">
        <v>12.216666221618652</v>
      </c>
      <c r="J1291">
        <v>8594.0941947011706</v>
      </c>
      <c r="K1291">
        <v>183.419359902743</v>
      </c>
    </row>
    <row r="1292" spans="1:11" x14ac:dyDescent="0.25">
      <c r="A1292" t="str">
        <f>VLOOKUP(C1292,'[2]Ensaio 1'!$A$2:$E$28,5,FALSE)</f>
        <v>Control</v>
      </c>
      <c r="B1292">
        <f>VLOOKUP(C1292,'[2]Ensaio 1'!$A$2:$F$28,6,FALSE)</f>
        <v>4</v>
      </c>
      <c r="C1292" s="36">
        <v>960000003688523</v>
      </c>
      <c r="D1292" s="36">
        <v>960000003688523</v>
      </c>
      <c r="E1292" s="1">
        <f t="shared" si="20"/>
        <v>45000</v>
      </c>
      <c r="F1292" s="51">
        <v>45000.6495138889</v>
      </c>
      <c r="G1292" s="51">
        <v>45000.6540046296</v>
      </c>
      <c r="H1292" s="52">
        <v>3.9814814814810003E-3</v>
      </c>
      <c r="I1292">
        <v>15.588333129882813</v>
      </c>
      <c r="J1292">
        <v>8068.8785643536503</v>
      </c>
      <c r="K1292">
        <v>70.533217207606398</v>
      </c>
    </row>
    <row r="1293" spans="1:11" x14ac:dyDescent="0.25">
      <c r="A1293" t="str">
        <f>VLOOKUP(C1293,'[2]Ensaio 1'!$A$2:$E$28,5,FALSE)</f>
        <v>Control</v>
      </c>
      <c r="B1293">
        <f>VLOOKUP(C1293,'[2]Ensaio 1'!$A$2:$F$28,6,FALSE)</f>
        <v>4</v>
      </c>
      <c r="C1293" s="36">
        <v>960000003599578</v>
      </c>
      <c r="D1293" s="36">
        <v>960000003599578</v>
      </c>
      <c r="E1293" s="1">
        <f t="shared" si="20"/>
        <v>45000</v>
      </c>
      <c r="F1293" s="51">
        <v>45000.654687499999</v>
      </c>
      <c r="G1293" s="51">
        <v>45000.656886574099</v>
      </c>
      <c r="H1293" s="52">
        <v>1.9907407407410002E-3</v>
      </c>
      <c r="I1293">
        <v>15.712499618530273</v>
      </c>
      <c r="J1293">
        <v>9442.3654654223101</v>
      </c>
      <c r="K1293">
        <v>185.17546608598099</v>
      </c>
    </row>
    <row r="1294" spans="1:11" x14ac:dyDescent="0.25">
      <c r="A1294" t="str">
        <f>VLOOKUP(C1294,'[2]Ensaio 1'!$A$2:$E$28,5,FALSE)</f>
        <v>Control</v>
      </c>
      <c r="B1294">
        <f>VLOOKUP(C1294,'[2]Ensaio 1'!$A$2:$F$28,6,FALSE)</f>
        <v>4</v>
      </c>
      <c r="C1294" s="36">
        <v>960000003688521</v>
      </c>
      <c r="D1294" s="36">
        <v>960000003688521</v>
      </c>
      <c r="E1294" s="1">
        <f t="shared" si="20"/>
        <v>45000</v>
      </c>
      <c r="F1294" s="51">
        <v>45000.700277777803</v>
      </c>
      <c r="G1294" s="51">
        <v>45000.703692129602</v>
      </c>
      <c r="H1294" s="52">
        <v>2.9629629629630001E-3</v>
      </c>
      <c r="I1294">
        <v>16.806667327880859</v>
      </c>
      <c r="J1294">
        <v>7904.1556513680198</v>
      </c>
      <c r="K1294">
        <v>111.684176311369</v>
      </c>
    </row>
    <row r="1295" spans="1:11" x14ac:dyDescent="0.25">
      <c r="A1295" t="str">
        <f>VLOOKUP(C1295,'[2]Ensaio 1'!$A$2:$E$28,5,FALSE)</f>
        <v>Control</v>
      </c>
      <c r="B1295">
        <f>VLOOKUP(C1295,'[2]Ensaio 1'!$A$2:$F$28,6,FALSE)</f>
        <v>4</v>
      </c>
      <c r="C1295" s="36">
        <v>960000003599578</v>
      </c>
      <c r="D1295" s="36">
        <v>960000003599578</v>
      </c>
      <c r="E1295" s="1">
        <f t="shared" si="20"/>
        <v>45000</v>
      </c>
      <c r="F1295" s="51">
        <v>45000.714444444398</v>
      </c>
      <c r="G1295" s="51">
        <v>45000.716111111098</v>
      </c>
      <c r="H1295" s="52">
        <v>1.4236111111109999E-3</v>
      </c>
      <c r="I1295">
        <v>17.14666748046875</v>
      </c>
      <c r="J1295">
        <v>8991.3592164253496</v>
      </c>
      <c r="K1295">
        <v>133.311441705504</v>
      </c>
    </row>
    <row r="1296" spans="1:11" x14ac:dyDescent="0.25">
      <c r="A1296" t="str">
        <f>VLOOKUP(C1296,'[2]Ensaio 1'!$A$2:$E$28,5,FALSE)</f>
        <v>Control</v>
      </c>
      <c r="B1296">
        <f>VLOOKUP(C1296,'[2]Ensaio 1'!$A$2:$F$28,6,FALSE)</f>
        <v>4</v>
      </c>
      <c r="C1296" s="36">
        <v>960000003688521</v>
      </c>
      <c r="D1296" s="36">
        <v>960000003688521</v>
      </c>
      <c r="E1296" s="1">
        <f t="shared" si="20"/>
        <v>45000</v>
      </c>
      <c r="F1296" s="51">
        <v>45000.731585648202</v>
      </c>
      <c r="G1296" s="51">
        <v>45000.735879629603</v>
      </c>
      <c r="H1296" s="52">
        <v>2.3148148148149999E-3</v>
      </c>
      <c r="I1296">
        <v>17.558055877685547</v>
      </c>
      <c r="J1296">
        <v>7227.9599537717704</v>
      </c>
      <c r="K1296">
        <v>123.997745343728</v>
      </c>
    </row>
    <row r="1297" spans="1:11" x14ac:dyDescent="0.25">
      <c r="A1297" t="str">
        <f>VLOOKUP(C1297,'[2]Ensaio 1'!$A$2:$E$28,5,FALSE)</f>
        <v>Control</v>
      </c>
      <c r="B1297">
        <f>VLOOKUP(C1297,'[2]Ensaio 1'!$A$2:$F$28,6,FALSE)</f>
        <v>4</v>
      </c>
      <c r="C1297" s="36">
        <v>960000003687554</v>
      </c>
      <c r="D1297" s="36">
        <v>960000003687554</v>
      </c>
      <c r="E1297" s="1">
        <f t="shared" si="20"/>
        <v>45000</v>
      </c>
      <c r="F1297" s="51">
        <v>45000.791574074101</v>
      </c>
      <c r="G1297" s="51">
        <v>45000.794710648202</v>
      </c>
      <c r="H1297" s="52">
        <v>2.9513888888889998E-3</v>
      </c>
      <c r="I1297">
        <v>18.997777938842773</v>
      </c>
      <c r="J1297">
        <v>11683.9099526343</v>
      </c>
      <c r="K1297">
        <v>191.05868035162001</v>
      </c>
    </row>
    <row r="1298" spans="1:11" x14ac:dyDescent="0.25">
      <c r="A1298" t="str">
        <f>VLOOKUP(C1298,'[2]Ensaio 1'!$A$2:$E$28,5,FALSE)</f>
        <v>Control</v>
      </c>
      <c r="B1298">
        <f>VLOOKUP(C1298,'[2]Ensaio 1'!$A$2:$F$28,6,FALSE)</f>
        <v>4</v>
      </c>
      <c r="C1298" s="36">
        <v>960000003688523</v>
      </c>
      <c r="D1298" s="36">
        <v>960000003688523</v>
      </c>
      <c r="E1298" s="1">
        <f t="shared" si="20"/>
        <v>45000</v>
      </c>
      <c r="F1298" s="51">
        <v>45000.9425694444</v>
      </c>
      <c r="G1298" s="51">
        <v>45000.946770833303</v>
      </c>
      <c r="H1298" s="52">
        <v>4.1319444444440001E-3</v>
      </c>
      <c r="I1298">
        <v>22.621665954589844</v>
      </c>
      <c r="J1298">
        <v>7462.6400032356496</v>
      </c>
      <c r="K1298">
        <v>102.755352738629</v>
      </c>
    </row>
    <row r="1299" spans="1:11" x14ac:dyDescent="0.25">
      <c r="A1299" t="str">
        <f>VLOOKUP(C1299,'[2]Ensaio 1'!$A$2:$E$28,5,FALSE)</f>
        <v>Control</v>
      </c>
      <c r="B1299">
        <f>VLOOKUP(C1299,'[2]Ensaio 1'!$A$2:$F$28,6,FALSE)</f>
        <v>4</v>
      </c>
      <c r="C1299" s="36">
        <v>960000003687554</v>
      </c>
      <c r="D1299" s="36">
        <v>960000003687554</v>
      </c>
      <c r="E1299" s="1">
        <f t="shared" si="20"/>
        <v>45000</v>
      </c>
      <c r="F1299" s="51">
        <v>45000.948356481502</v>
      </c>
      <c r="G1299" s="51">
        <v>45000.953634259298</v>
      </c>
      <c r="H1299" s="52">
        <v>4.7569444444439998E-3</v>
      </c>
      <c r="I1299">
        <v>22.760555267333984</v>
      </c>
      <c r="J1299">
        <v>12005.6311842386</v>
      </c>
      <c r="K1299">
        <v>160.75209759873701</v>
      </c>
    </row>
    <row r="1300" spans="1:11" x14ac:dyDescent="0.25">
      <c r="A1300" t="str">
        <f>VLOOKUP(C1300,'[2]Ensaio 1'!$A$2:$E$28,5,FALSE)</f>
        <v>Control</v>
      </c>
      <c r="B1300">
        <f>VLOOKUP(C1300,'[2]Ensaio 1'!$A$2:$F$28,6,FALSE)</f>
        <v>4</v>
      </c>
      <c r="C1300" s="36">
        <v>960000003516091</v>
      </c>
      <c r="D1300" s="36">
        <v>960000003516091</v>
      </c>
      <c r="E1300" s="1">
        <f t="shared" si="20"/>
        <v>45000</v>
      </c>
      <c r="F1300" s="51">
        <v>45000.961273148103</v>
      </c>
      <c r="G1300" s="51">
        <v>45000.966203703698</v>
      </c>
      <c r="H1300" s="52">
        <v>3.275462962963E-3</v>
      </c>
      <c r="I1300">
        <v>23.070554733276367</v>
      </c>
      <c r="J1300">
        <v>9899.4318467577596</v>
      </c>
      <c r="K1300">
        <v>133.63780714050699</v>
      </c>
    </row>
    <row r="1301" spans="1:11" x14ac:dyDescent="0.25">
      <c r="A1301" t="str">
        <f>VLOOKUP(C1301,'[2]Ensaio 1'!$A$2:$E$28,5,FALSE)</f>
        <v>Control</v>
      </c>
      <c r="B1301">
        <f>VLOOKUP(C1301,'[2]Ensaio 1'!$A$2:$F$28,6,FALSE)</f>
        <v>4</v>
      </c>
      <c r="C1301" s="36">
        <v>960000003599578</v>
      </c>
      <c r="D1301" s="36">
        <v>960000003599578</v>
      </c>
      <c r="E1301" s="1">
        <f t="shared" si="20"/>
        <v>45000</v>
      </c>
      <c r="F1301" s="51">
        <v>45000.986018518503</v>
      </c>
      <c r="G1301" s="51">
        <v>45000.988703703697</v>
      </c>
      <c r="H1301" s="52">
        <v>2.6504629629629998E-3</v>
      </c>
      <c r="I1301">
        <v>23.664443969726563</v>
      </c>
      <c r="J1301">
        <v>10603.9007824622</v>
      </c>
      <c r="K1301">
        <v>155.196972506836</v>
      </c>
    </row>
    <row r="1302" spans="1:11" x14ac:dyDescent="0.25">
      <c r="A1302" t="str">
        <f>VLOOKUP(C1302,'[2]Ensaio 1'!$A$2:$E$28,5,FALSE)</f>
        <v>Control</v>
      </c>
      <c r="B1302">
        <f>VLOOKUP(C1302,'[2]Ensaio 1'!$A$2:$F$28,6,FALSE)</f>
        <v>4</v>
      </c>
      <c r="C1302" s="36">
        <v>960000003688523</v>
      </c>
      <c r="D1302" s="36">
        <v>960000003688523</v>
      </c>
      <c r="E1302" s="1">
        <f t="shared" si="20"/>
        <v>45001</v>
      </c>
      <c r="F1302" s="51">
        <v>45001.004062499997</v>
      </c>
      <c r="G1302" s="51">
        <v>45001.008148148103</v>
      </c>
      <c r="H1302" s="52">
        <v>4.0162037037039999E-3</v>
      </c>
      <c r="I1302">
        <v>9.7499996423720994E-2</v>
      </c>
      <c r="J1302">
        <v>7788.6033034136799</v>
      </c>
      <c r="K1302">
        <v>118.921218636391</v>
      </c>
    </row>
    <row r="1303" spans="1:11" x14ac:dyDescent="0.25">
      <c r="A1303" t="str">
        <f>VLOOKUP(C1303,'[2]Ensaio 1'!$A$2:$E$28,5,FALSE)</f>
        <v>Control</v>
      </c>
      <c r="B1303">
        <f>VLOOKUP(C1303,'[2]Ensaio 1'!$A$2:$F$28,6,FALSE)</f>
        <v>4</v>
      </c>
      <c r="C1303" s="36">
        <v>960000003599578</v>
      </c>
      <c r="D1303" s="36">
        <v>960000003599578</v>
      </c>
      <c r="E1303" s="1">
        <f t="shared" si="20"/>
        <v>45001</v>
      </c>
      <c r="F1303" s="51">
        <v>45001.065868055601</v>
      </c>
      <c r="G1303" s="51">
        <v>45001.0695023148</v>
      </c>
      <c r="H1303" s="52">
        <v>3.5648148148150001E-3</v>
      </c>
      <c r="I1303">
        <v>1.580833315849304</v>
      </c>
      <c r="J1303">
        <v>11890.4691308072</v>
      </c>
      <c r="K1303">
        <v>186.55937639016199</v>
      </c>
    </row>
    <row r="1304" spans="1:11" x14ac:dyDescent="0.25">
      <c r="A1304" t="str">
        <f>VLOOKUP(C1304,'[2]Ensaio 1'!$A$2:$E$28,5,FALSE)</f>
        <v>Control</v>
      </c>
      <c r="B1304">
        <f>VLOOKUP(C1304,'[2]Ensaio 1'!$A$2:$F$28,6,FALSE)</f>
        <v>4</v>
      </c>
      <c r="C1304" s="36">
        <v>960000003516091</v>
      </c>
      <c r="D1304" s="36">
        <v>960000003516091</v>
      </c>
      <c r="E1304" s="1">
        <f t="shared" si="20"/>
        <v>45001</v>
      </c>
      <c r="F1304" s="51">
        <v>45001.099097222199</v>
      </c>
      <c r="G1304" s="51">
        <v>45001.103726851798</v>
      </c>
      <c r="H1304" s="52">
        <v>3.7152777777779999E-3</v>
      </c>
      <c r="I1304">
        <v>2.3783333301544189</v>
      </c>
      <c r="J1304">
        <v>7873.2653283956997</v>
      </c>
      <c r="K1304">
        <v>108.59734011872099</v>
      </c>
    </row>
    <row r="1305" spans="1:11" x14ac:dyDescent="0.25">
      <c r="A1305" t="str">
        <f>VLOOKUP(C1305,'[2]Ensaio 1'!$A$2:$E$28,5,FALSE)</f>
        <v>Control</v>
      </c>
      <c r="B1305">
        <f>VLOOKUP(C1305,'[2]Ensaio 1'!$A$2:$F$28,6,FALSE)</f>
        <v>4</v>
      </c>
      <c r="C1305" s="36">
        <v>960000003687554</v>
      </c>
      <c r="D1305" s="36">
        <v>960000003687554</v>
      </c>
      <c r="E1305" s="1">
        <f t="shared" si="20"/>
        <v>45001</v>
      </c>
      <c r="F1305" s="51">
        <v>45001.134039351899</v>
      </c>
      <c r="G1305" s="51">
        <v>45001.136469907397</v>
      </c>
      <c r="H1305" s="52">
        <v>2.1643518518520001E-3</v>
      </c>
      <c r="I1305">
        <v>3.2169444561004639</v>
      </c>
      <c r="J1305">
        <v>10420.3623189766</v>
      </c>
      <c r="K1305">
        <v>121.90049375437999</v>
      </c>
    </row>
    <row r="1306" spans="1:11" x14ac:dyDescent="0.25">
      <c r="A1306" t="str">
        <f>VLOOKUP(C1306,'[2]Ensaio 1'!$A$2:$E$28,5,FALSE)</f>
        <v>Control</v>
      </c>
      <c r="B1306">
        <f>VLOOKUP(C1306,'[2]Ensaio 1'!$A$2:$F$28,6,FALSE)</f>
        <v>4</v>
      </c>
      <c r="C1306" s="36">
        <v>960000003516091</v>
      </c>
      <c r="D1306" s="36">
        <v>960000003516091</v>
      </c>
      <c r="E1306" s="1">
        <f t="shared" si="20"/>
        <v>45001</v>
      </c>
      <c r="F1306" s="51">
        <v>45001.275856481501</v>
      </c>
      <c r="G1306" s="51">
        <v>45001.281134259298</v>
      </c>
      <c r="H1306" s="52">
        <v>2.44212962963E-3</v>
      </c>
      <c r="I1306">
        <v>6.6205554008483887</v>
      </c>
      <c r="J1306">
        <v>7196.3301377274502</v>
      </c>
      <c r="K1306">
        <v>56.1324748639029</v>
      </c>
    </row>
    <row r="1307" spans="1:11" x14ac:dyDescent="0.25">
      <c r="A1307" t="str">
        <f>VLOOKUP(C1307,'[2]Ensaio 1'!$A$2:$E$28,5,FALSE)</f>
        <v>Control</v>
      </c>
      <c r="B1307">
        <f>VLOOKUP(C1307,'[2]Ensaio 1'!$A$2:$F$28,6,FALSE)</f>
        <v>4</v>
      </c>
      <c r="C1307" s="36">
        <v>960000003688521</v>
      </c>
      <c r="D1307" s="36">
        <v>960000003688521</v>
      </c>
      <c r="E1307" s="1">
        <f t="shared" si="20"/>
        <v>45001</v>
      </c>
      <c r="F1307" s="51">
        <v>45001.281759259298</v>
      </c>
      <c r="G1307" s="51">
        <v>45001.285324074102</v>
      </c>
      <c r="H1307" s="52">
        <v>3.2870370370369998E-3</v>
      </c>
      <c r="I1307">
        <v>6.7622222900390616</v>
      </c>
      <c r="J1307">
        <v>8742.9429203147592</v>
      </c>
      <c r="K1307">
        <v>138.91650453747101</v>
      </c>
    </row>
    <row r="1308" spans="1:11" x14ac:dyDescent="0.25">
      <c r="A1308" t="str">
        <f>VLOOKUP(C1308,'[2]Ensaio 1'!$A$2:$E$28,5,FALSE)</f>
        <v>Control</v>
      </c>
      <c r="B1308">
        <f>VLOOKUP(C1308,'[2]Ensaio 1'!$A$2:$F$28,6,FALSE)</f>
        <v>4</v>
      </c>
      <c r="C1308" s="36">
        <v>960000003599578</v>
      </c>
      <c r="D1308" s="36">
        <v>960000003599578</v>
      </c>
      <c r="E1308" s="1">
        <f t="shared" si="20"/>
        <v>45001</v>
      </c>
      <c r="F1308" s="51">
        <v>45001.289282407401</v>
      </c>
      <c r="G1308" s="51">
        <v>45001.293553240699</v>
      </c>
      <c r="H1308" s="52">
        <v>4.143518518519E-3</v>
      </c>
      <c r="I1308">
        <v>6.9427776336669922</v>
      </c>
      <c r="J1308">
        <v>8016.5745423123499</v>
      </c>
      <c r="K1308">
        <v>122.881732041139</v>
      </c>
    </row>
    <row r="1309" spans="1:11" x14ac:dyDescent="0.25">
      <c r="A1309" t="str">
        <f>VLOOKUP(C1309,'[2]Ensaio 1'!$A$2:$E$28,5,FALSE)</f>
        <v>Control</v>
      </c>
      <c r="B1309">
        <f>VLOOKUP(C1309,'[2]Ensaio 1'!$A$2:$F$28,6,FALSE)</f>
        <v>4</v>
      </c>
      <c r="C1309" s="36">
        <v>960000003687554</v>
      </c>
      <c r="D1309" s="36">
        <v>960000003687554</v>
      </c>
      <c r="E1309" s="1">
        <f t="shared" si="20"/>
        <v>45001</v>
      </c>
      <c r="F1309" s="51">
        <v>45001.363576388903</v>
      </c>
      <c r="G1309" s="51">
        <v>45001.366770833301</v>
      </c>
      <c r="H1309" s="52">
        <v>3.1481481481479999E-3</v>
      </c>
      <c r="I1309">
        <v>8.7258329391479492</v>
      </c>
      <c r="J1309">
        <v>11153.8331384103</v>
      </c>
      <c r="K1309">
        <v>231.67921451981599</v>
      </c>
    </row>
    <row r="1310" spans="1:11" x14ac:dyDescent="0.25">
      <c r="A1310" t="str">
        <f>VLOOKUP(C1310,'[2]Ensaio 1'!$A$2:$E$28,5,FALSE)</f>
        <v>Control</v>
      </c>
      <c r="B1310">
        <f>VLOOKUP(C1310,'[2]Ensaio 1'!$A$2:$F$28,6,FALSE)</f>
        <v>4</v>
      </c>
      <c r="C1310" s="36">
        <v>960000003516091</v>
      </c>
      <c r="D1310" s="36">
        <v>960000003516091</v>
      </c>
      <c r="E1310" s="1">
        <f t="shared" si="20"/>
        <v>45001</v>
      </c>
      <c r="F1310" s="51">
        <v>45001.488564814797</v>
      </c>
      <c r="G1310" s="51">
        <v>45001.493541666699</v>
      </c>
      <c r="H1310" s="52">
        <v>3.4143518518519999E-3</v>
      </c>
      <c r="I1310">
        <v>11.725555419921875</v>
      </c>
      <c r="J1310">
        <v>8038.6901574698004</v>
      </c>
      <c r="K1310">
        <v>100.70217895878299</v>
      </c>
    </row>
    <row r="1311" spans="1:11" x14ac:dyDescent="0.25">
      <c r="A1311" t="str">
        <f>VLOOKUP(C1311,'[2]Ensaio 1'!$A$2:$E$28,5,FALSE)</f>
        <v>Control</v>
      </c>
      <c r="B1311">
        <f>VLOOKUP(C1311,'[2]Ensaio 1'!$A$2:$F$28,6,FALSE)</f>
        <v>4</v>
      </c>
      <c r="C1311" s="36">
        <v>960000003688523</v>
      </c>
      <c r="D1311" s="36">
        <v>960000003688523</v>
      </c>
      <c r="E1311" s="1">
        <f t="shared" si="20"/>
        <v>45001</v>
      </c>
      <c r="F1311" s="51">
        <v>45001.521516203698</v>
      </c>
      <c r="G1311" s="51">
        <v>45001.526944444398</v>
      </c>
      <c r="H1311" s="52">
        <v>4.5601851851849997E-3</v>
      </c>
      <c r="I1311">
        <v>12.516388893127441</v>
      </c>
      <c r="J1311">
        <v>9803.6324265687908</v>
      </c>
      <c r="K1311">
        <v>185.63580549364499</v>
      </c>
    </row>
    <row r="1312" spans="1:11" x14ac:dyDescent="0.25">
      <c r="A1312" t="str">
        <f>VLOOKUP(C1312,'[2]Ensaio 1'!$A$2:$E$28,5,FALSE)</f>
        <v>Control</v>
      </c>
      <c r="B1312">
        <f>VLOOKUP(C1312,'[2]Ensaio 1'!$A$2:$F$28,6,FALSE)</f>
        <v>4</v>
      </c>
      <c r="C1312" s="36">
        <v>960000003599578</v>
      </c>
      <c r="D1312" s="36">
        <v>960000003599578</v>
      </c>
      <c r="E1312" s="1">
        <f t="shared" si="20"/>
        <v>45001</v>
      </c>
      <c r="F1312" s="51">
        <v>45001.536331018498</v>
      </c>
      <c r="G1312" s="51">
        <v>45001.545497685198</v>
      </c>
      <c r="H1312" s="52">
        <v>7.8240740740740007E-3</v>
      </c>
      <c r="I1312">
        <v>12.871944427490234</v>
      </c>
      <c r="J1312">
        <v>8678.2959947680192</v>
      </c>
      <c r="K1312">
        <v>123.061988348838</v>
      </c>
    </row>
    <row r="1313" spans="1:11" x14ac:dyDescent="0.25">
      <c r="A1313" t="str">
        <f>VLOOKUP(C1313,'[2]Ensaio 1'!$A$2:$E$28,5,FALSE)</f>
        <v>Control</v>
      </c>
      <c r="B1313">
        <f>VLOOKUP(C1313,'[2]Ensaio 1'!$A$2:$F$28,6,FALSE)</f>
        <v>4</v>
      </c>
      <c r="C1313" s="36">
        <v>960000003688521</v>
      </c>
      <c r="D1313" s="36">
        <v>960000003688521</v>
      </c>
      <c r="E1313" s="1">
        <f t="shared" si="20"/>
        <v>45001</v>
      </c>
      <c r="F1313" s="51">
        <v>45001.576782407399</v>
      </c>
      <c r="G1313" s="51">
        <v>45001.580266203702</v>
      </c>
      <c r="H1313" s="52">
        <v>2.604166666667E-3</v>
      </c>
      <c r="I1313">
        <v>13.842778205871582</v>
      </c>
      <c r="J1313">
        <v>8485.7327029871794</v>
      </c>
      <c r="K1313">
        <v>114.50904386990899</v>
      </c>
    </row>
    <row r="1314" spans="1:11" x14ac:dyDescent="0.25">
      <c r="A1314" t="str">
        <f>VLOOKUP(C1314,'[2]Ensaio 1'!$A$2:$E$28,5,FALSE)</f>
        <v>Control</v>
      </c>
      <c r="B1314">
        <f>VLOOKUP(C1314,'[2]Ensaio 1'!$A$2:$F$28,6,FALSE)</f>
        <v>4</v>
      </c>
      <c r="C1314" s="36">
        <v>960000003599578</v>
      </c>
      <c r="D1314" s="36">
        <v>960000003599578</v>
      </c>
      <c r="E1314" s="1">
        <f t="shared" si="20"/>
        <v>45001</v>
      </c>
      <c r="F1314" s="51">
        <v>45001.584826388898</v>
      </c>
      <c r="G1314" s="51">
        <v>45001.586516203701</v>
      </c>
      <c r="H1314" s="52">
        <v>1.6087962962959999E-3</v>
      </c>
      <c r="I1314">
        <v>14.035833358764648</v>
      </c>
      <c r="J1314">
        <v>8134.4266784686897</v>
      </c>
      <c r="K1314">
        <v>131.00299138998599</v>
      </c>
    </row>
    <row r="1315" spans="1:11" x14ac:dyDescent="0.25">
      <c r="A1315" t="str">
        <f>VLOOKUP(C1315,'[2]Ensaio 1'!$A$2:$E$28,5,FALSE)</f>
        <v>Control</v>
      </c>
      <c r="B1315">
        <f>VLOOKUP(C1315,'[2]Ensaio 1'!$A$2:$F$28,6,FALSE)</f>
        <v>4</v>
      </c>
      <c r="C1315" s="36">
        <v>960000003688523</v>
      </c>
      <c r="D1315" s="36">
        <v>960000003688523</v>
      </c>
      <c r="E1315" s="1">
        <f t="shared" si="20"/>
        <v>45002</v>
      </c>
      <c r="F1315" s="51">
        <v>45002.345914351798</v>
      </c>
      <c r="G1315" s="51">
        <v>45002.3488194444</v>
      </c>
      <c r="H1315" s="52">
        <v>2.4652777777780001E-3</v>
      </c>
      <c r="I1315">
        <v>8.3019447326660156</v>
      </c>
      <c r="J1315">
        <v>9799.1304251817692</v>
      </c>
      <c r="K1315">
        <v>200.52390954122799</v>
      </c>
    </row>
    <row r="1316" spans="1:11" x14ac:dyDescent="0.25">
      <c r="A1316" t="str">
        <f>VLOOKUP(C1316,'[2]Ensaio 1'!$A$2:$E$28,5,FALSE)</f>
        <v>Control</v>
      </c>
      <c r="B1316">
        <f>VLOOKUP(C1316,'[2]Ensaio 1'!$A$2:$F$28,6,FALSE)</f>
        <v>4</v>
      </c>
      <c r="C1316" s="36">
        <v>960000003687554</v>
      </c>
      <c r="D1316" s="36">
        <v>960000003687554</v>
      </c>
      <c r="E1316" s="1">
        <f t="shared" si="20"/>
        <v>45002</v>
      </c>
      <c r="F1316" s="51">
        <v>45002.356782407398</v>
      </c>
      <c r="G1316" s="51">
        <v>45002.360011574099</v>
      </c>
      <c r="H1316" s="52">
        <v>2.604166666667E-3</v>
      </c>
      <c r="I1316">
        <v>8.5627775192260742</v>
      </c>
      <c r="J1316">
        <v>8307.0741756614098</v>
      </c>
      <c r="K1316">
        <v>141.10383104452501</v>
      </c>
    </row>
    <row r="1317" spans="1:11" x14ac:dyDescent="0.25">
      <c r="A1317" t="str">
        <f>VLOOKUP(C1317,'[2]Ensaio 1'!$A$2:$E$28,5,FALSE)</f>
        <v>Control</v>
      </c>
      <c r="B1317">
        <f>VLOOKUP(C1317,'[2]Ensaio 1'!$A$2:$F$28,6,FALSE)</f>
        <v>4</v>
      </c>
      <c r="C1317" s="36">
        <v>960000003688523</v>
      </c>
      <c r="D1317" s="36">
        <v>960000003688523</v>
      </c>
      <c r="E1317" s="1">
        <f t="shared" si="20"/>
        <v>45002</v>
      </c>
      <c r="F1317" s="51">
        <v>45002.367199074099</v>
      </c>
      <c r="G1317" s="51">
        <v>45002.369062500002</v>
      </c>
      <c r="H1317" s="52">
        <v>1.840277777778E-3</v>
      </c>
      <c r="I1317">
        <v>8.8127775192260742</v>
      </c>
      <c r="J1317">
        <v>8012.7144723557803</v>
      </c>
      <c r="K1317">
        <v>143.08395571373299</v>
      </c>
    </row>
    <row r="1318" spans="1:11" x14ac:dyDescent="0.25">
      <c r="A1318" t="str">
        <f>VLOOKUP(C1318,'[2]Ensaio 1'!$A$2:$E$28,5,FALSE)</f>
        <v>Control</v>
      </c>
      <c r="B1318">
        <f>VLOOKUP(C1318,'[2]Ensaio 1'!$A$2:$F$28,6,FALSE)</f>
        <v>4</v>
      </c>
      <c r="C1318" s="36">
        <v>960000003599578</v>
      </c>
      <c r="D1318" s="36">
        <v>960000003599578</v>
      </c>
      <c r="E1318" s="1">
        <f t="shared" si="20"/>
        <v>45002</v>
      </c>
      <c r="F1318" s="51">
        <v>45002.381631944401</v>
      </c>
      <c r="G1318" s="51">
        <v>45002.385671296302</v>
      </c>
      <c r="H1318" s="52">
        <v>3.634259259259E-3</v>
      </c>
      <c r="I1318">
        <v>9.1591663360595703</v>
      </c>
      <c r="J1318">
        <v>9893.2759216768009</v>
      </c>
      <c r="K1318">
        <v>169.49675012230401</v>
      </c>
    </row>
    <row r="1319" spans="1:11" x14ac:dyDescent="0.25">
      <c r="A1319" t="str">
        <f>VLOOKUP(C1319,'[2]Ensaio 1'!$A$2:$E$28,5,FALSE)</f>
        <v>Control</v>
      </c>
      <c r="B1319">
        <f>VLOOKUP(C1319,'[2]Ensaio 1'!$A$2:$F$28,6,FALSE)</f>
        <v>4</v>
      </c>
      <c r="C1319" s="36">
        <v>960000003688521</v>
      </c>
      <c r="D1319" s="36">
        <v>960000003688521</v>
      </c>
      <c r="E1319" s="1">
        <f t="shared" si="20"/>
        <v>45002</v>
      </c>
      <c r="F1319" s="51">
        <v>45002.511504629598</v>
      </c>
      <c r="G1319" s="51">
        <v>45002.514976851897</v>
      </c>
      <c r="H1319" s="52">
        <v>3.2175925925929999E-3</v>
      </c>
      <c r="I1319">
        <v>12.276110649108887</v>
      </c>
      <c r="J1319">
        <v>8013.8860010419003</v>
      </c>
      <c r="K1319">
        <v>121.12403798755101</v>
      </c>
    </row>
    <row r="1320" spans="1:11" x14ac:dyDescent="0.25">
      <c r="A1320" t="str">
        <f>VLOOKUP(C1320,'[2]Ensaio 1'!$A$2:$E$28,5,FALSE)</f>
        <v>Control</v>
      </c>
      <c r="B1320">
        <f>VLOOKUP(C1320,'[2]Ensaio 1'!$A$2:$F$28,6,FALSE)</f>
        <v>4</v>
      </c>
      <c r="C1320" s="36">
        <v>960000003516091</v>
      </c>
      <c r="D1320" s="36">
        <v>960000003516091</v>
      </c>
      <c r="E1320" s="1">
        <f t="shared" si="20"/>
        <v>45002</v>
      </c>
      <c r="F1320" s="51">
        <v>45002.5211921296</v>
      </c>
      <c r="G1320" s="51">
        <v>45002.525486111103</v>
      </c>
      <c r="H1320" s="52">
        <v>3.1944444444440001E-3</v>
      </c>
      <c r="I1320">
        <v>12.508610725402832</v>
      </c>
      <c r="J1320">
        <v>7149.01271005951</v>
      </c>
      <c r="K1320">
        <v>118.64892926069101</v>
      </c>
    </row>
    <row r="1321" spans="1:11" x14ac:dyDescent="0.25">
      <c r="A1321" t="str">
        <f>VLOOKUP(C1321,'[2]Ensaio 1'!$A$2:$E$28,5,FALSE)</f>
        <v>Control</v>
      </c>
      <c r="B1321">
        <f>VLOOKUP(C1321,'[2]Ensaio 1'!$A$2:$F$28,6,FALSE)</f>
        <v>4</v>
      </c>
      <c r="C1321" s="36">
        <v>960000003599578</v>
      </c>
      <c r="D1321" s="36">
        <v>960000003599578</v>
      </c>
      <c r="E1321" s="1">
        <f t="shared" si="20"/>
        <v>45002</v>
      </c>
      <c r="F1321" s="51">
        <v>45002.585856481499</v>
      </c>
      <c r="G1321" s="51">
        <v>45002.587800925903</v>
      </c>
      <c r="H1321" s="52">
        <v>1.886574074074E-3</v>
      </c>
      <c r="I1321">
        <v>14.060555458068848</v>
      </c>
      <c r="J1321">
        <v>6974.4033836714298</v>
      </c>
      <c r="K1321">
        <v>121.58941215094799</v>
      </c>
    </row>
    <row r="1322" spans="1:11" x14ac:dyDescent="0.25">
      <c r="A1322" t="str">
        <f>VLOOKUP(C1322,'[2]Ensaio 1'!$A$2:$E$28,5,FALSE)</f>
        <v>Control</v>
      </c>
      <c r="B1322">
        <f>VLOOKUP(C1322,'[2]Ensaio 1'!$A$2:$F$28,6,FALSE)</f>
        <v>4</v>
      </c>
      <c r="C1322" s="36">
        <v>960000003599578</v>
      </c>
      <c r="D1322" s="36">
        <v>960000003599578</v>
      </c>
      <c r="E1322" s="1">
        <f t="shared" si="20"/>
        <v>45002</v>
      </c>
      <c r="F1322" s="51">
        <v>45002.659953703696</v>
      </c>
      <c r="G1322" s="51">
        <v>45002.662881944401</v>
      </c>
      <c r="H1322" s="52">
        <v>2.8935185185190002E-3</v>
      </c>
      <c r="I1322">
        <v>15.838889122009277</v>
      </c>
      <c r="J1322">
        <v>10308.669859769299</v>
      </c>
      <c r="K1322">
        <v>176.49096488443399</v>
      </c>
    </row>
    <row r="1323" spans="1:11" x14ac:dyDescent="0.25">
      <c r="A1323" t="str">
        <f>VLOOKUP(C1323,'[2]Ensaio 1'!$A$2:$E$28,5,FALSE)</f>
        <v>Control</v>
      </c>
      <c r="B1323">
        <f>VLOOKUP(C1323,'[2]Ensaio 1'!$A$2:$F$28,6,FALSE)</f>
        <v>4</v>
      </c>
      <c r="C1323" s="36">
        <v>960000003688523</v>
      </c>
      <c r="D1323" s="36">
        <v>960000003688523</v>
      </c>
      <c r="E1323" s="1">
        <f t="shared" si="20"/>
        <v>45002</v>
      </c>
      <c r="F1323" s="51">
        <v>45002.690752314797</v>
      </c>
      <c r="G1323" s="51">
        <v>45002.696284722202</v>
      </c>
      <c r="H1323" s="52">
        <v>5.277777777778E-3</v>
      </c>
      <c r="I1323">
        <v>16.578056335449219</v>
      </c>
      <c r="J1323">
        <v>9838.8766617178208</v>
      </c>
      <c r="K1323">
        <v>158.635461290752</v>
      </c>
    </row>
    <row r="1324" spans="1:11" x14ac:dyDescent="0.25">
      <c r="A1324" t="str">
        <f>VLOOKUP(C1324,'[2]Ensaio 1'!$A$2:$E$28,5,FALSE)</f>
        <v>Control</v>
      </c>
      <c r="B1324">
        <f>VLOOKUP(C1324,'[2]Ensaio 1'!$A$2:$F$28,6,FALSE)</f>
        <v>4</v>
      </c>
      <c r="C1324" s="36">
        <v>960000003688523</v>
      </c>
      <c r="D1324" s="36">
        <v>960000003688523</v>
      </c>
      <c r="E1324" s="1">
        <f t="shared" si="20"/>
        <v>45002</v>
      </c>
      <c r="F1324" s="51">
        <v>45002.7093171296</v>
      </c>
      <c r="G1324" s="51">
        <v>45002.711111111101</v>
      </c>
      <c r="H1324" s="52">
        <v>1.7592592592589999E-3</v>
      </c>
      <c r="I1324">
        <v>17.023611068725586</v>
      </c>
      <c r="J1324">
        <v>10506.7659766494</v>
      </c>
      <c r="K1324">
        <v>167.62772212829799</v>
      </c>
    </row>
    <row r="1325" spans="1:11" x14ac:dyDescent="0.25">
      <c r="A1325" t="str">
        <f>VLOOKUP(C1325,'[2]Ensaio 1'!$A$2:$E$28,5,FALSE)</f>
        <v>Control</v>
      </c>
      <c r="B1325">
        <f>VLOOKUP(C1325,'[2]Ensaio 1'!$A$2:$F$28,6,FALSE)</f>
        <v>4</v>
      </c>
      <c r="C1325" s="36">
        <v>960000003688521</v>
      </c>
      <c r="D1325" s="36">
        <v>960000003688521</v>
      </c>
      <c r="E1325" s="1">
        <f t="shared" si="20"/>
        <v>45002</v>
      </c>
      <c r="F1325" s="51">
        <v>45002.729571759301</v>
      </c>
      <c r="G1325" s="51">
        <v>45002.733634259297</v>
      </c>
      <c r="H1325" s="52">
        <v>3.5879629629629998E-3</v>
      </c>
      <c r="I1325">
        <v>17.509721755981445</v>
      </c>
      <c r="J1325">
        <v>7650.7928275918903</v>
      </c>
      <c r="K1325">
        <v>112.87139417097499</v>
      </c>
    </row>
    <row r="1326" spans="1:11" x14ac:dyDescent="0.25">
      <c r="A1326" t="str">
        <f>VLOOKUP(C1326,'[2]Ensaio 1'!$A$2:$E$28,5,FALSE)</f>
        <v>Control</v>
      </c>
      <c r="B1326">
        <f>VLOOKUP(C1326,'[2]Ensaio 1'!$A$2:$F$28,6,FALSE)</f>
        <v>4</v>
      </c>
      <c r="C1326" s="36">
        <v>960000003687554</v>
      </c>
      <c r="D1326" s="36">
        <v>960000003687554</v>
      </c>
      <c r="E1326" s="1">
        <f t="shared" si="20"/>
        <v>45002</v>
      </c>
      <c r="F1326" s="51">
        <v>45002.734247685199</v>
      </c>
      <c r="G1326" s="51">
        <v>45002.737303240698</v>
      </c>
      <c r="H1326" s="52">
        <v>2.7083333333329999E-3</v>
      </c>
      <c r="I1326">
        <v>17.621944427490234</v>
      </c>
      <c r="J1326">
        <v>9465.7414107001696</v>
      </c>
      <c r="K1326">
        <v>172.90971906713801</v>
      </c>
    </row>
    <row r="1327" spans="1:11" x14ac:dyDescent="0.25">
      <c r="A1327" t="str">
        <f>VLOOKUP(C1327,'[2]Ensaio 1'!$A$2:$E$28,5,FALSE)</f>
        <v>Control</v>
      </c>
      <c r="B1327">
        <f>VLOOKUP(C1327,'[2]Ensaio 1'!$A$2:$F$28,6,FALSE)</f>
        <v>4</v>
      </c>
      <c r="C1327" s="36">
        <v>960000003688523</v>
      </c>
      <c r="D1327" s="36">
        <v>960000003688523</v>
      </c>
      <c r="E1327" s="1">
        <f t="shared" si="20"/>
        <v>45002</v>
      </c>
      <c r="F1327" s="51">
        <v>45002.813692129603</v>
      </c>
      <c r="G1327" s="51">
        <v>45002.815671296303</v>
      </c>
      <c r="H1327" s="52">
        <v>1.921296296296E-3</v>
      </c>
      <c r="I1327">
        <v>19.528610229492188</v>
      </c>
      <c r="J1327">
        <v>9910.2719187267194</v>
      </c>
      <c r="K1327">
        <v>190.41714640534201</v>
      </c>
    </row>
    <row r="1328" spans="1:11" x14ac:dyDescent="0.25">
      <c r="A1328" t="str">
        <f>VLOOKUP(C1328,'[2]Ensaio 1'!$A$2:$E$28,5,FALSE)</f>
        <v>Control</v>
      </c>
      <c r="B1328">
        <f>VLOOKUP(C1328,'[2]Ensaio 1'!$A$2:$F$28,6,FALSE)</f>
        <v>4</v>
      </c>
      <c r="C1328" s="36">
        <v>960000003688523</v>
      </c>
      <c r="D1328" s="36">
        <v>960000003688523</v>
      </c>
      <c r="E1328" s="1">
        <f t="shared" si="20"/>
        <v>45002</v>
      </c>
      <c r="F1328" s="51">
        <v>45002.980115740698</v>
      </c>
      <c r="G1328" s="51">
        <v>45002.986377314803</v>
      </c>
      <c r="H1328" s="52">
        <v>6.0416666666669996E-3</v>
      </c>
      <c r="I1328">
        <v>23.522777557373047</v>
      </c>
      <c r="J1328">
        <v>10465.559318834799</v>
      </c>
      <c r="K1328">
        <v>129.09117113578401</v>
      </c>
    </row>
    <row r="1329" spans="1:11" x14ac:dyDescent="0.25">
      <c r="A1329" t="str">
        <f>VLOOKUP(C1329,'[2]Ensaio 1'!$A$2:$E$28,5,FALSE)</f>
        <v>Control</v>
      </c>
      <c r="B1329">
        <f>VLOOKUP(C1329,'[2]Ensaio 1'!$A$2:$F$28,6,FALSE)</f>
        <v>4</v>
      </c>
      <c r="C1329" s="36">
        <v>960000003687554</v>
      </c>
      <c r="D1329" s="36">
        <v>960000003687554</v>
      </c>
      <c r="E1329" s="1">
        <f t="shared" si="20"/>
        <v>45002</v>
      </c>
      <c r="F1329" s="51">
        <v>45002.988356481503</v>
      </c>
      <c r="G1329" s="51">
        <v>45002.992106481499</v>
      </c>
      <c r="H1329" s="52">
        <v>2.731481481481E-3</v>
      </c>
      <c r="I1329">
        <v>23.720556259155273</v>
      </c>
      <c r="J1329">
        <v>9896.2255801593492</v>
      </c>
      <c r="K1329">
        <v>106.460193386577</v>
      </c>
    </row>
    <row r="1330" spans="1:11" x14ac:dyDescent="0.25">
      <c r="A1330" t="str">
        <f>VLOOKUP(C1330,'[2]Ensaio 1'!$A$2:$E$28,5,FALSE)</f>
        <v>Control</v>
      </c>
      <c r="B1330">
        <f>VLOOKUP(C1330,'[2]Ensaio 1'!$A$2:$F$28,6,FALSE)</f>
        <v>4</v>
      </c>
      <c r="C1330" s="36">
        <v>960000003688523</v>
      </c>
      <c r="D1330" s="36">
        <v>960000003688523</v>
      </c>
      <c r="E1330" s="1">
        <f t="shared" si="20"/>
        <v>45003</v>
      </c>
      <c r="F1330" s="51">
        <v>45003.0704513889</v>
      </c>
      <c r="G1330" s="51">
        <v>45003.076215277797</v>
      </c>
      <c r="H1330" s="52">
        <v>4.8611111111110002E-3</v>
      </c>
      <c r="I1330">
        <v>1.6908333301544189</v>
      </c>
      <c r="J1330">
        <v>9908.5384165814703</v>
      </c>
      <c r="K1330">
        <v>120.74349723922801</v>
      </c>
    </row>
    <row r="1331" spans="1:11" x14ac:dyDescent="0.25">
      <c r="A1331" t="str">
        <f>VLOOKUP(C1331,'[2]Ensaio 1'!$A$2:$E$28,5,FALSE)</f>
        <v>Control</v>
      </c>
      <c r="B1331">
        <f>VLOOKUP(C1331,'[2]Ensaio 1'!$A$2:$F$28,6,FALSE)</f>
        <v>4</v>
      </c>
      <c r="C1331" s="36">
        <v>960000003516091</v>
      </c>
      <c r="D1331" s="36">
        <v>960000003516091</v>
      </c>
      <c r="E1331" s="1">
        <f t="shared" si="20"/>
        <v>45003</v>
      </c>
      <c r="F1331" s="51">
        <v>45003.147303240701</v>
      </c>
      <c r="G1331" s="51">
        <v>45003.152071759301</v>
      </c>
      <c r="H1331" s="52">
        <v>3.6805555555559999E-3</v>
      </c>
      <c r="I1331">
        <v>3.5352778434753418</v>
      </c>
      <c r="J1331">
        <v>7623.3426217807801</v>
      </c>
      <c r="K1331">
        <v>90.034433062675305</v>
      </c>
    </row>
    <row r="1332" spans="1:11" x14ac:dyDescent="0.25">
      <c r="A1332" t="str">
        <f>VLOOKUP(C1332,'[2]Ensaio 1'!$A$2:$E$28,5,FALSE)</f>
        <v>Control</v>
      </c>
      <c r="B1332">
        <f>VLOOKUP(C1332,'[2]Ensaio 1'!$A$2:$F$28,6,FALSE)</f>
        <v>4</v>
      </c>
      <c r="C1332" s="36">
        <v>960000003687554</v>
      </c>
      <c r="D1332" s="36">
        <v>960000003687554</v>
      </c>
      <c r="E1332" s="1">
        <f t="shared" si="20"/>
        <v>45003</v>
      </c>
      <c r="F1332" s="51">
        <v>45003.210960648103</v>
      </c>
      <c r="G1332" s="51">
        <v>45003.214537036998</v>
      </c>
      <c r="H1332" s="52">
        <v>2.974537037037E-3</v>
      </c>
      <c r="I1332">
        <v>5.0630555152893066</v>
      </c>
      <c r="J1332">
        <v>9119.7883975674704</v>
      </c>
      <c r="K1332">
        <v>95.458231229359697</v>
      </c>
    </row>
    <row r="1333" spans="1:11" x14ac:dyDescent="0.25">
      <c r="A1333" t="str">
        <f>VLOOKUP(C1333,'[2]Ensaio 1'!$A$2:$E$28,5,FALSE)</f>
        <v>Control</v>
      </c>
      <c r="B1333">
        <f>VLOOKUP(C1333,'[2]Ensaio 1'!$A$2:$F$28,6,FALSE)</f>
        <v>4</v>
      </c>
      <c r="C1333" s="36">
        <v>960000003599578</v>
      </c>
      <c r="D1333" s="36">
        <v>960000003599578</v>
      </c>
      <c r="E1333" s="1">
        <f t="shared" si="20"/>
        <v>45003</v>
      </c>
      <c r="F1333" s="51">
        <v>45003.253194444398</v>
      </c>
      <c r="G1333" s="51">
        <v>45003.257245370398</v>
      </c>
      <c r="H1333" s="52">
        <v>3.5300925925930001E-3</v>
      </c>
      <c r="I1333">
        <v>6.0766668319702148</v>
      </c>
      <c r="J1333">
        <v>8987.7227468025194</v>
      </c>
      <c r="K1333">
        <v>111.271234852264</v>
      </c>
    </row>
    <row r="1334" spans="1:11" x14ac:dyDescent="0.25">
      <c r="A1334" t="str">
        <f>VLOOKUP(C1334,'[2]Ensaio 1'!$A$2:$E$28,5,FALSE)</f>
        <v>Control</v>
      </c>
      <c r="B1334">
        <f>VLOOKUP(C1334,'[2]Ensaio 1'!$A$2:$F$28,6,FALSE)</f>
        <v>4</v>
      </c>
      <c r="C1334" s="36">
        <v>960000003688521</v>
      </c>
      <c r="D1334" s="36">
        <v>960000003688521</v>
      </c>
      <c r="E1334" s="1">
        <f t="shared" si="20"/>
        <v>45003</v>
      </c>
      <c r="F1334" s="51">
        <v>45003.259641203702</v>
      </c>
      <c r="G1334" s="51">
        <v>45003.263819444401</v>
      </c>
      <c r="H1334" s="52">
        <v>3.5300925925930001E-3</v>
      </c>
      <c r="I1334">
        <v>6.231389045715332</v>
      </c>
      <c r="J1334">
        <v>8484.3814633838392</v>
      </c>
      <c r="K1334">
        <v>61.798420270786799</v>
      </c>
    </row>
    <row r="1335" spans="1:11" x14ac:dyDescent="0.25">
      <c r="A1335" t="str">
        <f>VLOOKUP(C1335,'[2]Ensaio 1'!$A$2:$E$28,5,FALSE)</f>
        <v>Control</v>
      </c>
      <c r="B1335">
        <f>VLOOKUP(C1335,'[2]Ensaio 1'!$A$2:$F$28,6,FALSE)</f>
        <v>4</v>
      </c>
      <c r="C1335" s="36">
        <v>960000003688523</v>
      </c>
      <c r="D1335" s="36">
        <v>960000003688523</v>
      </c>
      <c r="E1335" s="1">
        <f t="shared" si="20"/>
        <v>45003</v>
      </c>
      <c r="F1335" s="51">
        <v>45003.300590277802</v>
      </c>
      <c r="G1335" s="51">
        <v>45003.3069791667</v>
      </c>
      <c r="H1335" s="52">
        <v>5.740740740741E-3</v>
      </c>
      <c r="I1335">
        <v>7.2141666412353516</v>
      </c>
      <c r="J1335">
        <v>9009.4168173565795</v>
      </c>
      <c r="K1335">
        <v>86.914635791615495</v>
      </c>
    </row>
    <row r="1336" spans="1:11" x14ac:dyDescent="0.25">
      <c r="A1336" t="str">
        <f>VLOOKUP(C1336,'[2]Ensaio 1'!$A$2:$E$28,5,FALSE)</f>
        <v>Control</v>
      </c>
      <c r="B1336">
        <f>VLOOKUP(C1336,'[2]Ensaio 1'!$A$2:$F$28,6,FALSE)</f>
        <v>4</v>
      </c>
      <c r="C1336" s="36">
        <v>960000003688523</v>
      </c>
      <c r="D1336" s="36">
        <v>960000003688523</v>
      </c>
      <c r="E1336" s="1">
        <f t="shared" si="20"/>
        <v>45003</v>
      </c>
      <c r="F1336" s="51">
        <v>45003.389780092599</v>
      </c>
      <c r="G1336" s="51">
        <v>45003.394386574102</v>
      </c>
      <c r="H1336" s="52">
        <v>2.002314814815E-3</v>
      </c>
      <c r="I1336">
        <v>9.3547220230102539</v>
      </c>
      <c r="J1336">
        <v>10625.728821762101</v>
      </c>
      <c r="K1336">
        <v>154.305193266228</v>
      </c>
    </row>
    <row r="1337" spans="1:11" x14ac:dyDescent="0.25">
      <c r="A1337" t="str">
        <f>VLOOKUP(C1337,'[2]Ensaio 1'!$A$2:$E$28,5,FALSE)</f>
        <v>Control</v>
      </c>
      <c r="B1337">
        <f>VLOOKUP(C1337,'[2]Ensaio 1'!$A$2:$F$28,6,FALSE)</f>
        <v>4</v>
      </c>
      <c r="C1337" s="36">
        <v>960000003687554</v>
      </c>
      <c r="D1337" s="36">
        <v>960000003687554</v>
      </c>
      <c r="E1337" s="1">
        <f t="shared" si="20"/>
        <v>45003</v>
      </c>
      <c r="F1337" s="51">
        <v>45003.522476851896</v>
      </c>
      <c r="G1337" s="51">
        <v>45003.525844907403</v>
      </c>
      <c r="H1337" s="52">
        <v>2.835648148148E-3</v>
      </c>
      <c r="I1337">
        <v>12.539443969726563</v>
      </c>
      <c r="J1337">
        <v>9667.7429915190096</v>
      </c>
      <c r="K1337">
        <v>139.90953268678001</v>
      </c>
    </row>
    <row r="1338" spans="1:11" x14ac:dyDescent="0.25">
      <c r="A1338" t="str">
        <f>VLOOKUP(C1338,'[2]Ensaio 1'!$A$2:$E$28,5,FALSE)</f>
        <v>Control</v>
      </c>
      <c r="B1338">
        <f>VLOOKUP(C1338,'[2]Ensaio 1'!$A$2:$F$28,6,FALSE)</f>
        <v>4</v>
      </c>
      <c r="C1338" s="36">
        <v>960000003688523</v>
      </c>
      <c r="D1338" s="36">
        <v>960000003688523</v>
      </c>
      <c r="E1338" s="1">
        <f t="shared" si="20"/>
        <v>45003</v>
      </c>
      <c r="F1338" s="51">
        <v>45003.526840277802</v>
      </c>
      <c r="G1338" s="51">
        <v>45003.5320138889</v>
      </c>
      <c r="H1338" s="52">
        <v>3.8541666666669998E-3</v>
      </c>
      <c r="I1338">
        <v>12.644166946411133</v>
      </c>
      <c r="J1338">
        <v>10526.740737866499</v>
      </c>
      <c r="K1338">
        <v>168.78775711665801</v>
      </c>
    </row>
    <row r="1339" spans="1:11" x14ac:dyDescent="0.25">
      <c r="A1339" t="str">
        <f>VLOOKUP(C1339,'[2]Ensaio 1'!$A$2:$E$28,5,FALSE)</f>
        <v>Control</v>
      </c>
      <c r="B1339">
        <f>VLOOKUP(C1339,'[2]Ensaio 1'!$A$2:$F$28,6,FALSE)</f>
        <v>4</v>
      </c>
      <c r="C1339" s="36">
        <v>960000003688521</v>
      </c>
      <c r="D1339" s="36">
        <v>960000003688521</v>
      </c>
      <c r="E1339" s="1">
        <f t="shared" si="20"/>
        <v>45003</v>
      </c>
      <c r="F1339" s="51">
        <v>45003.541469907403</v>
      </c>
      <c r="G1339" s="51">
        <v>45003.544687499998</v>
      </c>
      <c r="H1339" s="52">
        <v>2.6273148148150001E-3</v>
      </c>
      <c r="I1339">
        <v>12.995277404785156</v>
      </c>
      <c r="J1339">
        <v>8068.6048257737502</v>
      </c>
      <c r="K1339">
        <v>88.009929131420506</v>
      </c>
    </row>
    <row r="1340" spans="1:11" x14ac:dyDescent="0.25">
      <c r="A1340" t="str">
        <f>VLOOKUP(C1340,'[2]Ensaio 1'!$A$2:$E$28,5,FALSE)</f>
        <v>Control</v>
      </c>
      <c r="B1340">
        <f>VLOOKUP(C1340,'[2]Ensaio 1'!$A$2:$F$28,6,FALSE)</f>
        <v>4</v>
      </c>
      <c r="C1340" s="36">
        <v>960000003599578</v>
      </c>
      <c r="D1340" s="36">
        <v>960000003599578</v>
      </c>
      <c r="E1340" s="1">
        <f t="shared" si="20"/>
        <v>45003</v>
      </c>
      <c r="F1340" s="51">
        <v>45003.584074074097</v>
      </c>
      <c r="G1340" s="51">
        <v>45003.587187500001</v>
      </c>
      <c r="H1340" s="52">
        <v>3.0555555555559998E-3</v>
      </c>
      <c r="I1340">
        <v>14.017777442932129</v>
      </c>
      <c r="J1340">
        <v>10101.514191723199</v>
      </c>
      <c r="K1340">
        <v>142.63818010994601</v>
      </c>
    </row>
    <row r="1341" spans="1:11" x14ac:dyDescent="0.25">
      <c r="A1341" t="str">
        <f>VLOOKUP(C1341,'[2]Ensaio 1'!$A$2:$E$28,5,FALSE)</f>
        <v>Control</v>
      </c>
      <c r="B1341">
        <f>VLOOKUP(C1341,'[2]Ensaio 1'!$A$2:$F$28,6,FALSE)</f>
        <v>4</v>
      </c>
      <c r="C1341" s="36">
        <v>960000003516091</v>
      </c>
      <c r="D1341" s="36">
        <v>960000003516091</v>
      </c>
      <c r="E1341" s="1">
        <f t="shared" si="20"/>
        <v>45003</v>
      </c>
      <c r="F1341" s="51">
        <v>45003.740370370397</v>
      </c>
      <c r="G1341" s="51">
        <v>45003.7445717593</v>
      </c>
      <c r="H1341" s="52">
        <v>3.8194444444439998E-3</v>
      </c>
      <c r="I1341">
        <v>17.768888473510742</v>
      </c>
      <c r="J1341">
        <v>8877.9707698908005</v>
      </c>
      <c r="K1341">
        <v>210.90672411508399</v>
      </c>
    </row>
    <row r="1342" spans="1:11" x14ac:dyDescent="0.25">
      <c r="A1342" t="str">
        <f>VLOOKUP(C1342,'[2]Ensaio 1'!$A$2:$E$28,5,FALSE)</f>
        <v>Control</v>
      </c>
      <c r="B1342">
        <f>VLOOKUP(C1342,'[2]Ensaio 1'!$A$2:$F$28,6,FALSE)</f>
        <v>4</v>
      </c>
      <c r="C1342" s="36">
        <v>960000003687554</v>
      </c>
      <c r="D1342" s="36">
        <v>960000003687554</v>
      </c>
      <c r="E1342" s="1">
        <f t="shared" si="20"/>
        <v>45003</v>
      </c>
      <c r="F1342" s="51">
        <v>45003.750034722201</v>
      </c>
      <c r="G1342" s="51">
        <v>45003.753912036998</v>
      </c>
      <c r="H1342" s="52">
        <v>3.1944444444440001E-3</v>
      </c>
      <c r="I1342">
        <v>18.000833511352539</v>
      </c>
      <c r="J1342">
        <v>9558.7562568385201</v>
      </c>
      <c r="K1342">
        <v>136.50800781810599</v>
      </c>
    </row>
    <row r="1343" spans="1:11" x14ac:dyDescent="0.25">
      <c r="A1343" t="str">
        <f>VLOOKUP(C1343,'[2]Ensaio 1'!$A$2:$E$28,5,FALSE)</f>
        <v>Control</v>
      </c>
      <c r="B1343">
        <f>VLOOKUP(C1343,'[2]Ensaio 1'!$A$2:$F$28,6,FALSE)</f>
        <v>4</v>
      </c>
      <c r="C1343" s="36">
        <v>960000003688521</v>
      </c>
      <c r="D1343" s="36">
        <v>960000003688521</v>
      </c>
      <c r="E1343" s="1">
        <f t="shared" si="20"/>
        <v>45003</v>
      </c>
      <c r="F1343" s="51">
        <v>45003.805300925902</v>
      </c>
      <c r="G1343" s="51">
        <v>45003.808634259301</v>
      </c>
      <c r="H1343" s="52">
        <v>3.1018518518520001E-3</v>
      </c>
      <c r="I1343">
        <v>19.32722282409668</v>
      </c>
      <c r="J1343">
        <v>9693.2620289770693</v>
      </c>
      <c r="K1343">
        <v>193.683326939898</v>
      </c>
    </row>
    <row r="1344" spans="1:11" x14ac:dyDescent="0.25">
      <c r="A1344" t="str">
        <f>VLOOKUP(C1344,'[2]Ensaio 1'!$A$2:$E$28,5,FALSE)</f>
        <v>Control</v>
      </c>
      <c r="B1344">
        <f>VLOOKUP(C1344,'[2]Ensaio 1'!$A$2:$F$28,6,FALSE)</f>
        <v>4</v>
      </c>
      <c r="C1344" s="36">
        <v>960000003688523</v>
      </c>
      <c r="D1344" s="36">
        <v>960000003688523</v>
      </c>
      <c r="E1344" s="1">
        <f t="shared" si="20"/>
        <v>45003</v>
      </c>
      <c r="F1344" s="51">
        <v>45003.813090277799</v>
      </c>
      <c r="G1344" s="51">
        <v>45003.816828703697</v>
      </c>
      <c r="H1344" s="52">
        <v>3.6574074074070002E-3</v>
      </c>
      <c r="I1344">
        <v>19.514165878295898</v>
      </c>
      <c r="J1344">
        <v>12602.366869866401</v>
      </c>
      <c r="K1344">
        <v>181.50248965954901</v>
      </c>
    </row>
    <row r="1345" spans="1:11" x14ac:dyDescent="0.25">
      <c r="A1345" t="str">
        <f>VLOOKUP(C1345,'[2]Ensaio 1'!$A$2:$E$28,5,FALSE)</f>
        <v>Control</v>
      </c>
      <c r="B1345">
        <f>VLOOKUP(C1345,'[2]Ensaio 1'!$A$2:$F$28,6,FALSE)</f>
        <v>4</v>
      </c>
      <c r="C1345" s="36">
        <v>960000003516091</v>
      </c>
      <c r="D1345" s="36">
        <v>960000003516091</v>
      </c>
      <c r="E1345" s="1">
        <f t="shared" si="20"/>
        <v>45003</v>
      </c>
      <c r="F1345" s="51">
        <v>45003.951631944401</v>
      </c>
      <c r="G1345" s="51">
        <v>45003.955902777801</v>
      </c>
      <c r="H1345" s="52">
        <v>2.2685185185190001E-3</v>
      </c>
      <c r="I1345">
        <v>22.839166641235352</v>
      </c>
      <c r="J1345">
        <v>8742.7676012746706</v>
      </c>
      <c r="K1345">
        <v>185.37191679454301</v>
      </c>
    </row>
    <row r="1346" spans="1:11" x14ac:dyDescent="0.25">
      <c r="A1346" t="str">
        <f>VLOOKUP(C1346,'[2]Ensaio 1'!$A$2:$E$28,5,FALSE)</f>
        <v>Control</v>
      </c>
      <c r="B1346">
        <f>VLOOKUP(C1346,'[2]Ensaio 1'!$A$2:$F$28,6,FALSE)</f>
        <v>4</v>
      </c>
      <c r="C1346" s="36">
        <v>960000003599578</v>
      </c>
      <c r="D1346" s="36">
        <v>960000003599578</v>
      </c>
      <c r="E1346" s="1">
        <f t="shared" ref="E1346:E1387" si="21">ROUNDDOWN(LEFT(F1346,10),0)</f>
        <v>45003</v>
      </c>
      <c r="F1346" s="51">
        <v>45003.958379629599</v>
      </c>
      <c r="G1346" s="51">
        <v>45003.962754629603</v>
      </c>
      <c r="H1346" s="52">
        <v>4.2824074074069999E-3</v>
      </c>
      <c r="I1346">
        <v>23.00111198425293</v>
      </c>
      <c r="J1346">
        <v>10624.065829098899</v>
      </c>
      <c r="K1346">
        <v>121.690844092571</v>
      </c>
    </row>
    <row r="1347" spans="1:11" x14ac:dyDescent="0.25">
      <c r="A1347" t="str">
        <f>VLOOKUP(C1347,'[2]Ensaio 1'!$A$2:$E$28,5,FALSE)</f>
        <v>Control</v>
      </c>
      <c r="B1347">
        <f>VLOOKUP(C1347,'[2]Ensaio 1'!$A$2:$F$28,6,FALSE)</f>
        <v>4</v>
      </c>
      <c r="C1347" s="36">
        <v>960000003687554</v>
      </c>
      <c r="D1347" s="36">
        <v>960000003687554</v>
      </c>
      <c r="E1347" s="1">
        <f t="shared" si="21"/>
        <v>45003</v>
      </c>
      <c r="F1347" s="51">
        <v>45003.965949074103</v>
      </c>
      <c r="G1347" s="51">
        <v>45003.968101851897</v>
      </c>
      <c r="H1347" s="52">
        <v>1.9791666666669999E-3</v>
      </c>
      <c r="I1347">
        <v>23.182777404785156</v>
      </c>
      <c r="J1347">
        <v>10656.5967063885</v>
      </c>
      <c r="K1347">
        <v>176.45541272308299</v>
      </c>
    </row>
    <row r="1348" spans="1:11" x14ac:dyDescent="0.25">
      <c r="A1348" t="str">
        <f>VLOOKUP(C1348,'[2]Ensaio 1'!$A$2:$E$28,5,FALSE)</f>
        <v>Control</v>
      </c>
      <c r="B1348">
        <f>VLOOKUP(C1348,'[2]Ensaio 1'!$A$2:$F$28,6,FALSE)</f>
        <v>4</v>
      </c>
      <c r="C1348" s="36">
        <v>960000003599578</v>
      </c>
      <c r="D1348" s="36">
        <v>960000003599578</v>
      </c>
      <c r="E1348" s="1">
        <f t="shared" si="21"/>
        <v>45004</v>
      </c>
      <c r="F1348" s="51">
        <v>45004.014641203699</v>
      </c>
      <c r="G1348" s="51">
        <v>45004.018078703702</v>
      </c>
      <c r="H1348" s="52">
        <v>3.3912037037040002E-3</v>
      </c>
      <c r="I1348">
        <v>0.35138890147209201</v>
      </c>
      <c r="J1348">
        <v>10304.235969056501</v>
      </c>
      <c r="K1348">
        <v>200.667586016185</v>
      </c>
    </row>
    <row r="1349" spans="1:11" x14ac:dyDescent="0.25">
      <c r="A1349" t="str">
        <f>VLOOKUP(C1349,'[2]Ensaio 1'!$A$2:$E$28,5,FALSE)</f>
        <v>Control</v>
      </c>
      <c r="B1349">
        <f>VLOOKUP(C1349,'[2]Ensaio 1'!$A$2:$F$28,6,FALSE)</f>
        <v>4</v>
      </c>
      <c r="C1349" s="36">
        <v>960000003516091</v>
      </c>
      <c r="D1349" s="36">
        <v>960000003516091</v>
      </c>
      <c r="E1349" s="1">
        <f t="shared" si="21"/>
        <v>45004</v>
      </c>
      <c r="F1349" s="51">
        <v>45004.110011574099</v>
      </c>
      <c r="G1349" s="51">
        <v>45004.111956018503</v>
      </c>
      <c r="H1349" s="52">
        <v>1.8981481481480001E-3</v>
      </c>
      <c r="I1349">
        <v>2.6402778625488281</v>
      </c>
      <c r="J1349">
        <v>9030.4733508676709</v>
      </c>
      <c r="K1349">
        <v>132.972877305514</v>
      </c>
    </row>
    <row r="1350" spans="1:11" x14ac:dyDescent="0.25">
      <c r="A1350" t="str">
        <f>VLOOKUP(C1350,'[2]Ensaio 1'!$A$2:$E$28,5,FALSE)</f>
        <v>Control</v>
      </c>
      <c r="B1350">
        <f>VLOOKUP(C1350,'[2]Ensaio 1'!$A$2:$F$28,6,FALSE)</f>
        <v>4</v>
      </c>
      <c r="C1350" s="36">
        <v>960000003688523</v>
      </c>
      <c r="D1350" s="36">
        <v>960000003688523</v>
      </c>
      <c r="E1350" s="1">
        <f t="shared" si="21"/>
        <v>45004</v>
      </c>
      <c r="F1350" s="51">
        <v>45004.114421296297</v>
      </c>
      <c r="G1350" s="51">
        <v>45004.117604166699</v>
      </c>
      <c r="H1350" s="52">
        <v>2.303240740741E-3</v>
      </c>
      <c r="I1350">
        <v>2.746111154556274</v>
      </c>
      <c r="J1350">
        <v>10876.218039072901</v>
      </c>
      <c r="K1350">
        <v>110.550684026076</v>
      </c>
    </row>
    <row r="1351" spans="1:11" x14ac:dyDescent="0.25">
      <c r="A1351" t="str">
        <f>VLOOKUP(C1351,'[2]Ensaio 1'!$A$2:$E$28,5,FALSE)</f>
        <v>Control</v>
      </c>
      <c r="B1351">
        <f>VLOOKUP(C1351,'[2]Ensaio 1'!$A$2:$F$28,6,FALSE)</f>
        <v>4</v>
      </c>
      <c r="C1351" s="36">
        <v>960000003687554</v>
      </c>
      <c r="D1351" s="36">
        <v>960000003687554</v>
      </c>
      <c r="E1351" s="1">
        <f t="shared" si="21"/>
        <v>45004</v>
      </c>
      <c r="F1351" s="51">
        <v>45004.1341203704</v>
      </c>
      <c r="G1351" s="51">
        <v>45004.135740740698</v>
      </c>
      <c r="H1351" s="52">
        <v>1.5740740740739999E-3</v>
      </c>
      <c r="I1351">
        <v>3.2188889980316162</v>
      </c>
      <c r="J1351">
        <v>9616.7521186257109</v>
      </c>
      <c r="K1351">
        <v>111.72537334193299</v>
      </c>
    </row>
    <row r="1352" spans="1:11" x14ac:dyDescent="0.25">
      <c r="A1352" t="str">
        <f>VLOOKUP(C1352,'[2]Ensaio 1'!$A$2:$E$28,5,FALSE)</f>
        <v>Control</v>
      </c>
      <c r="B1352">
        <f>VLOOKUP(C1352,'[2]Ensaio 1'!$A$2:$F$28,6,FALSE)</f>
        <v>4</v>
      </c>
      <c r="C1352" s="36">
        <v>960000003688523</v>
      </c>
      <c r="D1352" s="36">
        <v>960000003688523</v>
      </c>
      <c r="E1352" s="1">
        <f t="shared" si="21"/>
        <v>45004</v>
      </c>
      <c r="F1352" s="51">
        <v>45004.262453703697</v>
      </c>
      <c r="G1352" s="51">
        <v>45004.267187500001</v>
      </c>
      <c r="H1352" s="52">
        <v>3.668981481481E-3</v>
      </c>
      <c r="I1352">
        <v>6.2988886833190918</v>
      </c>
      <c r="J1352">
        <v>9477.2115017366905</v>
      </c>
      <c r="K1352">
        <v>85.6913009270841</v>
      </c>
    </row>
    <row r="1353" spans="1:11" x14ac:dyDescent="0.25">
      <c r="A1353" t="str">
        <f>VLOOKUP(C1353,'[2]Ensaio 1'!$A$2:$E$28,5,FALSE)</f>
        <v>Control</v>
      </c>
      <c r="B1353">
        <f>VLOOKUP(C1353,'[2]Ensaio 1'!$A$2:$F$28,6,FALSE)</f>
        <v>4</v>
      </c>
      <c r="C1353" s="36">
        <v>960000003688521</v>
      </c>
      <c r="D1353" s="36">
        <v>960000003688521</v>
      </c>
      <c r="E1353" s="1">
        <f t="shared" si="21"/>
        <v>45004</v>
      </c>
      <c r="F1353" s="51">
        <v>45004.272407407399</v>
      </c>
      <c r="G1353" s="51">
        <v>45004.276932870402</v>
      </c>
      <c r="H1353" s="52">
        <v>3.4606481481480001E-3</v>
      </c>
      <c r="I1353">
        <v>6.5377779006958008</v>
      </c>
      <c r="J1353">
        <v>9132.4562770072807</v>
      </c>
      <c r="K1353">
        <v>89.876222769776106</v>
      </c>
    </row>
    <row r="1354" spans="1:11" x14ac:dyDescent="0.25">
      <c r="A1354" t="str">
        <f>VLOOKUP(C1354,'[2]Ensaio 1'!$A$2:$E$28,5,FALSE)</f>
        <v>Control</v>
      </c>
      <c r="B1354">
        <f>VLOOKUP(C1354,'[2]Ensaio 1'!$A$2:$F$28,6,FALSE)</f>
        <v>4</v>
      </c>
      <c r="C1354" s="36">
        <v>960000003599578</v>
      </c>
      <c r="D1354" s="36">
        <v>960000003599578</v>
      </c>
      <c r="E1354" s="1">
        <f t="shared" si="21"/>
        <v>45004</v>
      </c>
      <c r="F1354" s="51">
        <v>45004.292175925897</v>
      </c>
      <c r="G1354" s="51">
        <v>45004.296493055597</v>
      </c>
      <c r="H1354" s="52">
        <v>4.2592592592590002E-3</v>
      </c>
      <c r="I1354">
        <v>7.0122222900390616</v>
      </c>
      <c r="J1354">
        <v>9472.5973353583795</v>
      </c>
      <c r="K1354">
        <v>145.58461226362201</v>
      </c>
    </row>
    <row r="1355" spans="1:11" x14ac:dyDescent="0.25">
      <c r="A1355" t="str">
        <f>VLOOKUP(C1355,'[2]Ensaio 1'!$A$2:$E$28,5,FALSE)</f>
        <v>Control</v>
      </c>
      <c r="B1355">
        <f>VLOOKUP(C1355,'[2]Ensaio 1'!$A$2:$F$28,6,FALSE)</f>
        <v>4</v>
      </c>
      <c r="C1355" s="36">
        <v>960000003687554</v>
      </c>
      <c r="D1355" s="36">
        <v>960000003687554</v>
      </c>
      <c r="E1355" s="1">
        <f t="shared" si="21"/>
        <v>45004</v>
      </c>
      <c r="F1355" s="51">
        <v>45004.346273148098</v>
      </c>
      <c r="G1355" s="51">
        <v>45004.349918981497</v>
      </c>
      <c r="H1355" s="52">
        <v>3.0439814814809999E-3</v>
      </c>
      <c r="I1355">
        <v>8.3105554580688477</v>
      </c>
      <c r="J1355">
        <v>9799.7352998698698</v>
      </c>
      <c r="K1355">
        <v>195.46823810281001</v>
      </c>
    </row>
    <row r="1356" spans="1:11" x14ac:dyDescent="0.25">
      <c r="A1356" t="str">
        <f>VLOOKUP(C1356,'[2]Ensaio 1'!$A$2:$E$28,5,FALSE)</f>
        <v>Control</v>
      </c>
      <c r="B1356">
        <f>VLOOKUP(C1356,'[2]Ensaio 1'!$A$2:$F$28,6,FALSE)</f>
        <v>4</v>
      </c>
      <c r="C1356" s="36">
        <v>960000003688523</v>
      </c>
      <c r="D1356" s="36">
        <v>960000003688523</v>
      </c>
      <c r="E1356" s="1">
        <f t="shared" si="21"/>
        <v>45004</v>
      </c>
      <c r="F1356" s="51">
        <v>45004.409780092603</v>
      </c>
      <c r="G1356" s="51">
        <v>45004.412638888898</v>
      </c>
      <c r="H1356" s="52">
        <v>2.835648148148E-3</v>
      </c>
      <c r="I1356">
        <v>9.8347225189208984</v>
      </c>
      <c r="J1356">
        <v>9402.3991055040697</v>
      </c>
      <c r="K1356">
        <v>168.37193629187399</v>
      </c>
    </row>
    <row r="1357" spans="1:11" x14ac:dyDescent="0.25">
      <c r="A1357" t="str">
        <f>VLOOKUP(C1357,'[2]Ensaio 1'!$A$2:$E$28,5,FALSE)</f>
        <v>Control</v>
      </c>
      <c r="B1357">
        <f>VLOOKUP(C1357,'[2]Ensaio 1'!$A$2:$F$28,6,FALSE)</f>
        <v>4</v>
      </c>
      <c r="C1357" s="36">
        <v>960000003688523</v>
      </c>
      <c r="D1357" s="36">
        <v>960000003688523</v>
      </c>
      <c r="E1357" s="1">
        <f t="shared" si="21"/>
        <v>45004</v>
      </c>
      <c r="F1357" s="51">
        <v>45004.4934027778</v>
      </c>
      <c r="G1357" s="51">
        <v>45004.4973032407</v>
      </c>
      <c r="H1357" s="52">
        <v>3.8310185185190001E-3</v>
      </c>
      <c r="I1357">
        <v>11.841666221618652</v>
      </c>
      <c r="J1357">
        <v>12727.596587526899</v>
      </c>
      <c r="K1357">
        <v>236.79179135258099</v>
      </c>
    </row>
    <row r="1358" spans="1:11" x14ac:dyDescent="0.25">
      <c r="A1358" t="str">
        <f>VLOOKUP(C1358,'[2]Ensaio 1'!$A$2:$E$28,5,FALSE)</f>
        <v>Control</v>
      </c>
      <c r="B1358">
        <f>VLOOKUP(C1358,'[2]Ensaio 1'!$A$2:$F$28,6,FALSE)</f>
        <v>4</v>
      </c>
      <c r="C1358" s="36">
        <v>960000003688521</v>
      </c>
      <c r="D1358" s="36">
        <v>960000003688521</v>
      </c>
      <c r="E1358" s="1">
        <f t="shared" si="21"/>
        <v>45004</v>
      </c>
      <c r="F1358" s="51">
        <v>45004.672465277799</v>
      </c>
      <c r="G1358" s="51">
        <v>45004.675856481503</v>
      </c>
      <c r="H1358" s="52">
        <v>2.9629629629630001E-3</v>
      </c>
      <c r="I1358">
        <v>16.139165878295898</v>
      </c>
      <c r="J1358">
        <v>9379.8867115929006</v>
      </c>
      <c r="K1358">
        <v>157.98006024430501</v>
      </c>
    </row>
    <row r="1359" spans="1:11" x14ac:dyDescent="0.25">
      <c r="A1359" t="str">
        <f>VLOOKUP(C1359,'[2]Ensaio 1'!$A$2:$E$28,5,FALSE)</f>
        <v>Control</v>
      </c>
      <c r="B1359">
        <f>VLOOKUP(C1359,'[2]Ensaio 1'!$A$2:$F$28,6,FALSE)</f>
        <v>4</v>
      </c>
      <c r="C1359" s="36">
        <v>960000003688523</v>
      </c>
      <c r="D1359" s="36">
        <v>960000003688523</v>
      </c>
      <c r="E1359" s="1">
        <f t="shared" si="21"/>
        <v>45004</v>
      </c>
      <c r="F1359" s="51">
        <v>45004.711979166699</v>
      </c>
      <c r="G1359" s="51">
        <v>45004.715266203697</v>
      </c>
      <c r="H1359" s="52">
        <v>3.2175925925929999E-3</v>
      </c>
      <c r="I1359">
        <v>17.087499618530273</v>
      </c>
      <c r="J1359">
        <v>12189.3816685321</v>
      </c>
      <c r="K1359">
        <v>187.682111568072</v>
      </c>
    </row>
    <row r="1360" spans="1:11" x14ac:dyDescent="0.25">
      <c r="A1360" t="str">
        <f>VLOOKUP(C1360,'[2]Ensaio 1'!$A$2:$E$28,5,FALSE)</f>
        <v>Control</v>
      </c>
      <c r="B1360">
        <f>VLOOKUP(C1360,'[2]Ensaio 1'!$A$2:$F$28,6,FALSE)</f>
        <v>4</v>
      </c>
      <c r="C1360" s="36">
        <v>960000003687554</v>
      </c>
      <c r="D1360" s="36">
        <v>960000003687554</v>
      </c>
      <c r="E1360" s="1">
        <f t="shared" si="21"/>
        <v>45004</v>
      </c>
      <c r="F1360" s="51">
        <v>45004.717928240701</v>
      </c>
      <c r="G1360" s="51">
        <v>45004.722824074102</v>
      </c>
      <c r="H1360" s="52">
        <v>2.5810185185189999E-3</v>
      </c>
      <c r="I1360">
        <v>17.230278015136719</v>
      </c>
      <c r="J1360">
        <v>8641.6748708983505</v>
      </c>
      <c r="K1360">
        <v>126.146463963559</v>
      </c>
    </row>
    <row r="1361" spans="1:11" x14ac:dyDescent="0.25">
      <c r="A1361" t="str">
        <f>VLOOKUP(C1361,'[2]Ensaio 1'!$A$2:$E$28,5,FALSE)</f>
        <v>Control</v>
      </c>
      <c r="B1361">
        <f>VLOOKUP(C1361,'[2]Ensaio 1'!$A$2:$F$28,6,FALSE)</f>
        <v>4</v>
      </c>
      <c r="C1361" s="36">
        <v>960000003599578</v>
      </c>
      <c r="D1361" s="36">
        <v>960000003599578</v>
      </c>
      <c r="E1361" s="1">
        <f t="shared" si="21"/>
        <v>45004</v>
      </c>
      <c r="F1361" s="51">
        <v>45004.775023148097</v>
      </c>
      <c r="G1361" s="51">
        <v>45004.778946759303</v>
      </c>
      <c r="H1361" s="52">
        <v>3.877314814815E-3</v>
      </c>
      <c r="I1361">
        <v>18.600555419921875</v>
      </c>
      <c r="J1361">
        <v>11648.809360875801</v>
      </c>
      <c r="K1361">
        <v>252.194824891796</v>
      </c>
    </row>
    <row r="1362" spans="1:11" x14ac:dyDescent="0.25">
      <c r="A1362" t="str">
        <f>VLOOKUP(C1362,'[2]Ensaio 1'!$A$2:$E$28,5,FALSE)</f>
        <v>Control</v>
      </c>
      <c r="B1362">
        <f>VLOOKUP(C1362,'[2]Ensaio 1'!$A$2:$F$28,6,FALSE)</f>
        <v>4</v>
      </c>
      <c r="C1362" s="36">
        <v>960000003516091</v>
      </c>
      <c r="D1362" s="36">
        <v>960000003516091</v>
      </c>
      <c r="E1362" s="1">
        <f t="shared" si="21"/>
        <v>45004</v>
      </c>
      <c r="F1362" s="51">
        <v>45004.9793055556</v>
      </c>
      <c r="G1362" s="51">
        <v>45004.989513888897</v>
      </c>
      <c r="H1362" s="52">
        <v>3.9120370370370004E-3</v>
      </c>
      <c r="I1362">
        <v>23.503334045410156</v>
      </c>
      <c r="J1362">
        <v>8791.8800598484595</v>
      </c>
      <c r="K1362">
        <v>109.21960842895901</v>
      </c>
    </row>
    <row r="1363" spans="1:11" x14ac:dyDescent="0.25">
      <c r="A1363" t="str">
        <f>VLOOKUP(C1363,'[2]Ensaio 1'!$A$2:$E$28,5,FALSE)</f>
        <v>Control</v>
      </c>
      <c r="B1363">
        <f>VLOOKUP(C1363,'[2]Ensaio 1'!$A$2:$F$28,6,FALSE)</f>
        <v>4</v>
      </c>
      <c r="C1363" s="36">
        <v>960000003687554</v>
      </c>
      <c r="D1363" s="36">
        <v>960000003687554</v>
      </c>
      <c r="E1363" s="1">
        <f t="shared" si="21"/>
        <v>45005</v>
      </c>
      <c r="F1363" s="51">
        <v>45005.009328703702</v>
      </c>
      <c r="G1363" s="51">
        <v>45005.012604166703</v>
      </c>
      <c r="H1363" s="52">
        <v>3.2291666666670001E-3</v>
      </c>
      <c r="I1363">
        <v>0.22388888895511599</v>
      </c>
      <c r="J1363">
        <v>10235.477606320601</v>
      </c>
      <c r="K1363">
        <v>137.22812842265401</v>
      </c>
    </row>
    <row r="1364" spans="1:11" x14ac:dyDescent="0.25">
      <c r="A1364" t="str">
        <f>VLOOKUP(C1364,'[2]Ensaio 1'!$A$2:$E$28,5,FALSE)</f>
        <v>Control</v>
      </c>
      <c r="B1364">
        <f>VLOOKUP(C1364,'[2]Ensaio 1'!$A$2:$F$28,6,FALSE)</f>
        <v>4</v>
      </c>
      <c r="C1364" s="36">
        <v>960000003599578</v>
      </c>
      <c r="D1364" s="36">
        <v>960000003599578</v>
      </c>
      <c r="E1364" s="1">
        <f t="shared" si="21"/>
        <v>45005</v>
      </c>
      <c r="F1364" s="51">
        <v>45005.053668981498</v>
      </c>
      <c r="G1364" s="51">
        <v>45005.057418981502</v>
      </c>
      <c r="H1364" s="52">
        <v>3.703703703704E-3</v>
      </c>
      <c r="I1364">
        <v>1.288055539131165</v>
      </c>
      <c r="J1364">
        <v>11503.901609181399</v>
      </c>
      <c r="K1364">
        <v>155.71786033281001</v>
      </c>
    </row>
    <row r="1365" spans="1:11" x14ac:dyDescent="0.25">
      <c r="A1365" t="str">
        <f>VLOOKUP(C1365,'[2]Ensaio 1'!$A$2:$E$28,5,FALSE)</f>
        <v>Control</v>
      </c>
      <c r="B1365">
        <f>VLOOKUP(C1365,'[2]Ensaio 1'!$A$2:$F$28,6,FALSE)</f>
        <v>4</v>
      </c>
      <c r="C1365" s="36">
        <v>960000003688521</v>
      </c>
      <c r="D1365" s="36">
        <v>960000003688521</v>
      </c>
      <c r="E1365" s="1">
        <f t="shared" si="21"/>
        <v>45005</v>
      </c>
      <c r="F1365" s="51">
        <v>45005.071689814802</v>
      </c>
      <c r="G1365" s="51">
        <v>45005.074884259302</v>
      </c>
      <c r="H1365" s="52">
        <v>3.0555555555559998E-3</v>
      </c>
      <c r="I1365">
        <v>1.7205555438995359</v>
      </c>
      <c r="J1365">
        <v>9726.9163515315504</v>
      </c>
      <c r="K1365">
        <v>142.42025293863301</v>
      </c>
    </row>
    <row r="1366" spans="1:11" x14ac:dyDescent="0.25">
      <c r="A1366" t="str">
        <f>VLOOKUP(C1366,'[2]Ensaio 1'!$A$2:$E$28,5,FALSE)</f>
        <v>Control</v>
      </c>
      <c r="B1366">
        <f>VLOOKUP(C1366,'[2]Ensaio 1'!$A$2:$F$28,6,FALSE)</f>
        <v>4</v>
      </c>
      <c r="C1366" s="36">
        <v>960000003516091</v>
      </c>
      <c r="D1366" s="36">
        <v>960000003516091</v>
      </c>
      <c r="E1366" s="1">
        <f t="shared" si="21"/>
        <v>45005</v>
      </c>
      <c r="F1366" s="51">
        <v>45005.085474537002</v>
      </c>
      <c r="G1366" s="51">
        <v>45005.089722222197</v>
      </c>
      <c r="H1366" s="52">
        <v>3.8657407407410001E-3</v>
      </c>
      <c r="I1366">
        <v>2.0513889789581299</v>
      </c>
      <c r="J1366">
        <v>8496.7413976582593</v>
      </c>
      <c r="K1366">
        <v>107.966154111039</v>
      </c>
    </row>
    <row r="1367" spans="1:11" x14ac:dyDescent="0.25">
      <c r="A1367" t="str">
        <f>VLOOKUP(C1367,'[2]Ensaio 1'!$A$2:$E$28,5,FALSE)</f>
        <v>Control</v>
      </c>
      <c r="B1367">
        <f>VLOOKUP(C1367,'[2]Ensaio 1'!$A$2:$F$28,6,FALSE)</f>
        <v>4</v>
      </c>
      <c r="C1367" s="36">
        <v>960000003688523</v>
      </c>
      <c r="D1367" s="36">
        <v>960000003688523</v>
      </c>
      <c r="E1367" s="1">
        <f t="shared" si="21"/>
        <v>45005</v>
      </c>
      <c r="F1367" s="51">
        <v>45005.243182870399</v>
      </c>
      <c r="G1367" s="51">
        <v>45005.247731481497</v>
      </c>
      <c r="H1367" s="52">
        <v>3.703703703704E-3</v>
      </c>
      <c r="I1367">
        <v>5.8363890647888184</v>
      </c>
      <c r="J1367">
        <v>10285.0288350052</v>
      </c>
      <c r="K1367">
        <v>107.22753100408001</v>
      </c>
    </row>
    <row r="1368" spans="1:11" x14ac:dyDescent="0.25">
      <c r="A1368" t="str">
        <f>VLOOKUP(C1368,'[2]Ensaio 1'!$A$2:$E$28,5,FALSE)</f>
        <v>Control</v>
      </c>
      <c r="B1368">
        <f>VLOOKUP(C1368,'[2]Ensaio 1'!$A$2:$F$28,6,FALSE)</f>
        <v>4</v>
      </c>
      <c r="C1368" s="36">
        <v>960000003687554</v>
      </c>
      <c r="D1368" s="36">
        <v>960000003687554</v>
      </c>
      <c r="E1368" s="1">
        <f t="shared" si="21"/>
        <v>45005</v>
      </c>
      <c r="F1368" s="51">
        <v>45005.299733796302</v>
      </c>
      <c r="G1368" s="51">
        <v>45005.303738425901</v>
      </c>
      <c r="H1368" s="52">
        <v>3.9004629629630001E-3</v>
      </c>
      <c r="I1368">
        <v>7.1936111450195313</v>
      </c>
      <c r="J1368">
        <v>10575.424247016001</v>
      </c>
      <c r="K1368">
        <v>122.744451753292</v>
      </c>
    </row>
    <row r="1369" spans="1:11" x14ac:dyDescent="0.25">
      <c r="A1369" t="str">
        <f>VLOOKUP(C1369,'[2]Ensaio 1'!$A$2:$E$28,5,FALSE)</f>
        <v>Control</v>
      </c>
      <c r="B1369">
        <f>VLOOKUP(C1369,'[2]Ensaio 1'!$A$2:$F$28,6,FALSE)</f>
        <v>4</v>
      </c>
      <c r="C1369" s="36">
        <v>960000003516091</v>
      </c>
      <c r="D1369" s="36">
        <v>960000003516091</v>
      </c>
      <c r="E1369" s="1">
        <f t="shared" si="21"/>
        <v>45005</v>
      </c>
      <c r="F1369" s="51">
        <v>45005.311469907399</v>
      </c>
      <c r="G1369" s="51">
        <v>45005.317974537</v>
      </c>
      <c r="H1369" s="52">
        <v>3.206018518519E-3</v>
      </c>
      <c r="I1369">
        <v>7.4752779006958008</v>
      </c>
      <c r="J1369">
        <v>8331.0468026723702</v>
      </c>
      <c r="K1369">
        <v>111.193767769888</v>
      </c>
    </row>
    <row r="1370" spans="1:11" x14ac:dyDescent="0.25">
      <c r="A1370" t="str">
        <f>VLOOKUP(C1370,'[2]Ensaio 1'!$A$2:$E$28,5,FALSE)</f>
        <v>Control</v>
      </c>
      <c r="B1370">
        <f>VLOOKUP(C1370,'[2]Ensaio 1'!$A$2:$F$28,6,FALSE)</f>
        <v>4</v>
      </c>
      <c r="C1370" s="36">
        <v>960000003688521</v>
      </c>
      <c r="D1370" s="36">
        <v>960000003688521</v>
      </c>
      <c r="E1370" s="1">
        <f t="shared" si="21"/>
        <v>45005</v>
      </c>
      <c r="F1370" s="51">
        <v>45005.381516203699</v>
      </c>
      <c r="G1370" s="51">
        <v>45005.384768518503</v>
      </c>
      <c r="H1370" s="52">
        <v>3.0787037037039999E-3</v>
      </c>
      <c r="I1370">
        <v>9.1563892364501953</v>
      </c>
      <c r="J1370">
        <v>8344.0064596612901</v>
      </c>
      <c r="K1370">
        <v>113.851169279671</v>
      </c>
    </row>
    <row r="1371" spans="1:11" x14ac:dyDescent="0.25">
      <c r="A1371" t="s">
        <v>0</v>
      </c>
      <c r="B1371">
        <f>VLOOKUP(C1371,'[2]Ensaio 1'!$A$2:$F$28,6,FALSE)</f>
        <v>5</v>
      </c>
      <c r="C1371" s="36">
        <v>960000003784731</v>
      </c>
      <c r="D1371" s="36">
        <v>960000003784731</v>
      </c>
      <c r="E1371" s="1">
        <f t="shared" si="21"/>
        <v>45005</v>
      </c>
      <c r="F1371" s="51">
        <v>45005.404918981498</v>
      </c>
      <c r="G1371" s="51">
        <v>45005.4093055556</v>
      </c>
      <c r="H1371" s="52">
        <v>4.1550925925929998E-3</v>
      </c>
      <c r="I1371">
        <v>9.7180557250976563</v>
      </c>
      <c r="J1371">
        <v>10767.068902602699</v>
      </c>
      <c r="K1371">
        <v>219.592843800374</v>
      </c>
    </row>
    <row r="1372" spans="1:11" x14ac:dyDescent="0.25">
      <c r="A1372" t="s">
        <v>0</v>
      </c>
      <c r="B1372">
        <f>VLOOKUP(C1372,'[2]Ensaio 1'!$A$2:$F$28,6,FALSE)</f>
        <v>5</v>
      </c>
      <c r="C1372" s="36">
        <v>960000003784740</v>
      </c>
      <c r="D1372" s="36">
        <v>960000003784740</v>
      </c>
      <c r="E1372" s="1">
        <f t="shared" si="21"/>
        <v>45005</v>
      </c>
      <c r="F1372" s="51">
        <v>45005.4110069444</v>
      </c>
      <c r="G1372" s="51">
        <v>45005.415196759299</v>
      </c>
      <c r="H1372" s="52">
        <v>2.939814814815E-3</v>
      </c>
      <c r="I1372">
        <v>9.864166259765625</v>
      </c>
      <c r="J1372">
        <v>9813.0660708242394</v>
      </c>
      <c r="K1372">
        <v>259.17719115817403</v>
      </c>
    </row>
    <row r="1373" spans="1:11" x14ac:dyDescent="0.25">
      <c r="A1373" t="s">
        <v>0</v>
      </c>
      <c r="B1373">
        <f>VLOOKUP(C1373,'[2]Ensaio 1'!$A$2:$F$28,6,FALSE)</f>
        <v>5</v>
      </c>
      <c r="C1373" s="36">
        <v>960000003784722</v>
      </c>
      <c r="D1373" s="36">
        <v>960000003784722</v>
      </c>
      <c r="E1373" s="1">
        <f t="shared" si="21"/>
        <v>45005</v>
      </c>
      <c r="F1373" s="51">
        <v>45005.419224537</v>
      </c>
      <c r="G1373" s="51">
        <v>45005.422615740703</v>
      </c>
      <c r="H1373" s="52">
        <v>2.8935185185190002E-3</v>
      </c>
      <c r="I1373">
        <v>10.061388969421387</v>
      </c>
      <c r="J1373">
        <v>8380.6336345514501</v>
      </c>
      <c r="K1373">
        <v>169.76209729728299</v>
      </c>
    </row>
    <row r="1374" spans="1:11" x14ac:dyDescent="0.25">
      <c r="A1374" t="s">
        <v>0</v>
      </c>
      <c r="B1374">
        <f>VLOOKUP(C1374,'[2]Ensaio 1'!$A$2:$F$28,6,FALSE)</f>
        <v>5</v>
      </c>
      <c r="C1374" s="36">
        <v>960000003784699</v>
      </c>
      <c r="D1374" s="36">
        <v>960000003784699</v>
      </c>
      <c r="E1374" s="1">
        <f t="shared" si="21"/>
        <v>45005</v>
      </c>
      <c r="F1374" s="51">
        <v>45005.430115740703</v>
      </c>
      <c r="G1374" s="51">
        <v>45005.432523148098</v>
      </c>
      <c r="H1374" s="52">
        <v>2.2106481481479999E-3</v>
      </c>
      <c r="I1374">
        <v>10.32277774810791</v>
      </c>
      <c r="J1374">
        <v>9023.8987994825693</v>
      </c>
      <c r="K1374">
        <v>130.220060643301</v>
      </c>
    </row>
    <row r="1375" spans="1:11" x14ac:dyDescent="0.25">
      <c r="A1375" t="s">
        <v>0</v>
      </c>
      <c r="B1375">
        <f>VLOOKUP(C1375,'[2]Ensaio 1'!$A$2:$F$28,6,FALSE)</f>
        <v>5</v>
      </c>
      <c r="C1375" s="36">
        <v>960000003688554</v>
      </c>
      <c r="D1375" s="36">
        <v>960000003688554</v>
      </c>
      <c r="E1375" s="1">
        <f t="shared" si="21"/>
        <v>45005</v>
      </c>
      <c r="F1375" s="51">
        <v>45005.436932870398</v>
      </c>
      <c r="G1375" s="51">
        <v>45005.441122685203</v>
      </c>
      <c r="H1375" s="52">
        <v>4.0856481481479998E-3</v>
      </c>
      <c r="I1375">
        <v>10.48638916015625</v>
      </c>
      <c r="J1375">
        <v>7400.8408425195503</v>
      </c>
      <c r="K1375">
        <v>142.84113119966699</v>
      </c>
    </row>
    <row r="1376" spans="1:11" x14ac:dyDescent="0.25">
      <c r="A1376" t="s">
        <v>0</v>
      </c>
      <c r="B1376">
        <f>VLOOKUP(C1376,'[2]Ensaio 1'!$A$2:$F$28,6,FALSE)</f>
        <v>5</v>
      </c>
      <c r="C1376" s="36">
        <v>960000003784731</v>
      </c>
      <c r="D1376" s="36">
        <v>960000003784731</v>
      </c>
      <c r="E1376" s="1">
        <f t="shared" si="21"/>
        <v>45005</v>
      </c>
      <c r="F1376" s="51">
        <v>45005.445740740703</v>
      </c>
      <c r="G1376" s="51">
        <v>45005.4476041667</v>
      </c>
      <c r="H1376" s="52">
        <v>1.6087962962959999E-3</v>
      </c>
      <c r="I1376">
        <v>10.69777774810791</v>
      </c>
      <c r="J1376">
        <v>6559.2497116745699</v>
      </c>
      <c r="K1376">
        <v>117.830368351045</v>
      </c>
    </row>
    <row r="1377" spans="1:11" x14ac:dyDescent="0.25">
      <c r="A1377" t="s">
        <v>0</v>
      </c>
      <c r="B1377">
        <f>VLOOKUP(C1377,'[2]Ensaio 1'!$A$2:$F$28,6,FALSE)</f>
        <v>5</v>
      </c>
      <c r="C1377" s="36">
        <v>960000003784731</v>
      </c>
      <c r="D1377" s="36">
        <v>960000003784731</v>
      </c>
      <c r="E1377" s="1">
        <f t="shared" si="21"/>
        <v>45005</v>
      </c>
      <c r="F1377" s="51">
        <v>45005.567430555602</v>
      </c>
      <c r="G1377" s="51">
        <v>45005.573645833298</v>
      </c>
      <c r="H1377" s="52">
        <v>1.736111111111E-3</v>
      </c>
      <c r="I1377">
        <v>13.618332862854004</v>
      </c>
      <c r="J1377">
        <v>7941.3376877684204</v>
      </c>
      <c r="K1377">
        <v>163.87616071040901</v>
      </c>
    </row>
    <row r="1378" spans="1:11" x14ac:dyDescent="0.25">
      <c r="A1378" t="s">
        <v>0</v>
      </c>
      <c r="B1378">
        <f>VLOOKUP(C1378,'[2]Ensaio 1'!$A$2:$F$28,6,FALSE)</f>
        <v>5</v>
      </c>
      <c r="C1378" s="36">
        <v>960000003784731</v>
      </c>
      <c r="D1378" s="36">
        <v>960000003784731</v>
      </c>
      <c r="E1378" s="1">
        <f t="shared" si="21"/>
        <v>45005</v>
      </c>
      <c r="F1378" s="51">
        <v>45005.625462962998</v>
      </c>
      <c r="G1378" s="51">
        <v>45005.629895833299</v>
      </c>
      <c r="H1378" s="52">
        <v>3.240740740741E-3</v>
      </c>
      <c r="I1378">
        <v>15.011111259460449</v>
      </c>
      <c r="J1378">
        <v>8111.1360726290804</v>
      </c>
      <c r="K1378">
        <v>146.27653931811801</v>
      </c>
    </row>
    <row r="1379" spans="1:11" x14ac:dyDescent="0.25">
      <c r="A1379" t="s">
        <v>0</v>
      </c>
      <c r="B1379">
        <f>VLOOKUP(C1379,'[2]Ensaio 1'!$A$2:$F$28,6,FALSE)</f>
        <v>5</v>
      </c>
      <c r="C1379" s="36">
        <v>960000003784699</v>
      </c>
      <c r="D1379" s="36">
        <v>960000003784699</v>
      </c>
      <c r="E1379" s="1">
        <f t="shared" si="21"/>
        <v>45005</v>
      </c>
      <c r="F1379" s="51">
        <v>45005.655914351897</v>
      </c>
      <c r="G1379" s="51">
        <v>45005.6593055556</v>
      </c>
      <c r="H1379" s="52">
        <v>2.974537037037E-3</v>
      </c>
      <c r="I1379">
        <v>15.741944313049316</v>
      </c>
      <c r="J1379">
        <v>7849.2504718630898</v>
      </c>
      <c r="K1379">
        <v>223.03548029442001</v>
      </c>
    </row>
    <row r="1380" spans="1:11" x14ac:dyDescent="0.25">
      <c r="A1380" t="s">
        <v>0</v>
      </c>
      <c r="B1380">
        <f>VLOOKUP(C1380,'[2]Ensaio 1'!$A$2:$F$28,6,FALSE)</f>
        <v>5</v>
      </c>
      <c r="C1380" s="36">
        <v>960000003784740</v>
      </c>
      <c r="D1380" s="36">
        <v>960000003784740</v>
      </c>
      <c r="E1380" s="1">
        <f t="shared" si="21"/>
        <v>45005</v>
      </c>
      <c r="F1380" s="51">
        <v>45005.682326388902</v>
      </c>
      <c r="G1380" s="51">
        <v>45005.6852083333</v>
      </c>
      <c r="H1380" s="52">
        <v>1.689814814815E-3</v>
      </c>
      <c r="I1380">
        <v>16.375833511352539</v>
      </c>
      <c r="J1380">
        <v>8589.7701233018597</v>
      </c>
      <c r="K1380">
        <v>327.35158384873802</v>
      </c>
    </row>
    <row r="1381" spans="1:11" x14ac:dyDescent="0.25">
      <c r="A1381" t="s">
        <v>0</v>
      </c>
      <c r="B1381">
        <f>VLOOKUP(C1381,'[2]Ensaio 1'!$A$2:$F$28,6,FALSE)</f>
        <v>5</v>
      </c>
      <c r="C1381" s="36">
        <v>960000003784722</v>
      </c>
      <c r="D1381" s="36">
        <v>960000003784722</v>
      </c>
      <c r="E1381" s="1">
        <f t="shared" si="21"/>
        <v>45005</v>
      </c>
      <c r="F1381" s="51">
        <v>45005.692754629599</v>
      </c>
      <c r="G1381" s="51">
        <v>45005.6953587963</v>
      </c>
      <c r="H1381" s="52">
        <v>2.5462962962959999E-3</v>
      </c>
      <c r="I1381">
        <v>16.62611198425293</v>
      </c>
      <c r="J1381">
        <v>8795.5255423897797</v>
      </c>
      <c r="K1381">
        <v>222.042563655104</v>
      </c>
    </row>
    <row r="1382" spans="1:11" x14ac:dyDescent="0.25">
      <c r="A1382" t="s">
        <v>0</v>
      </c>
      <c r="B1382">
        <f>VLOOKUP(C1382,'[2]Ensaio 1'!$A$2:$F$28,6,FALSE)</f>
        <v>5</v>
      </c>
      <c r="C1382" s="36">
        <v>960000003688554</v>
      </c>
      <c r="D1382" s="36">
        <v>960000003688554</v>
      </c>
      <c r="E1382" s="1">
        <f t="shared" si="21"/>
        <v>45005</v>
      </c>
      <c r="F1382" s="51">
        <v>45005.701018518499</v>
      </c>
      <c r="G1382" s="51">
        <v>45005.704143518502</v>
      </c>
      <c r="H1382" s="52">
        <v>3.0902777777780002E-3</v>
      </c>
      <c r="I1382">
        <v>16.824443817138672</v>
      </c>
      <c r="J1382">
        <v>8469.0264411874305</v>
      </c>
      <c r="K1382">
        <v>211.275439281106</v>
      </c>
    </row>
    <row r="1383" spans="1:11" x14ac:dyDescent="0.25">
      <c r="A1383" t="s">
        <v>0</v>
      </c>
      <c r="B1383">
        <f>VLOOKUP(C1383,'[2]Ensaio 1'!$A$2:$F$28,6,FALSE)</f>
        <v>5</v>
      </c>
      <c r="C1383" s="36">
        <v>960000003784731</v>
      </c>
      <c r="D1383" s="36">
        <v>960000003784731</v>
      </c>
      <c r="E1383" s="1">
        <f t="shared" si="21"/>
        <v>45005</v>
      </c>
      <c r="F1383" s="51">
        <v>45005.707511574103</v>
      </c>
      <c r="G1383" s="51">
        <v>45005.711527777799</v>
      </c>
      <c r="H1383" s="52">
        <v>1.840277777778E-3</v>
      </c>
      <c r="I1383">
        <v>16.980278015136719</v>
      </c>
      <c r="J1383">
        <v>7563.7854945053896</v>
      </c>
      <c r="K1383">
        <v>135.82929676709799</v>
      </c>
    </row>
    <row r="1384" spans="1:11" x14ac:dyDescent="0.25">
      <c r="A1384" t="s">
        <v>0</v>
      </c>
      <c r="B1384">
        <f>VLOOKUP(C1384,'[2]Ensaio 1'!$A$2:$F$28,6,FALSE)</f>
        <v>5</v>
      </c>
      <c r="C1384" s="36">
        <v>960000003784740</v>
      </c>
      <c r="D1384" s="36">
        <v>960000003784740</v>
      </c>
      <c r="E1384" s="1">
        <f t="shared" si="21"/>
        <v>45005</v>
      </c>
      <c r="F1384" s="51">
        <v>45005.754722222198</v>
      </c>
      <c r="G1384" s="51">
        <v>45005.756261574097</v>
      </c>
      <c r="H1384" s="52">
        <v>1.5162037037040001E-3</v>
      </c>
      <c r="I1384">
        <v>18.113332748413086</v>
      </c>
      <c r="J1384">
        <v>7009.1921217497302</v>
      </c>
      <c r="K1384">
        <v>287.95758771319402</v>
      </c>
    </row>
    <row r="1385" spans="1:11" x14ac:dyDescent="0.25">
      <c r="A1385" t="s">
        <v>0</v>
      </c>
      <c r="B1385">
        <f>VLOOKUP(C1385,'[2]Ensaio 1'!$A$2:$F$28,6,FALSE)</f>
        <v>5</v>
      </c>
      <c r="C1385" s="36">
        <v>960000003784731</v>
      </c>
      <c r="D1385" s="36">
        <v>960000003784731</v>
      </c>
      <c r="E1385" s="1">
        <f t="shared" si="21"/>
        <v>45005</v>
      </c>
      <c r="F1385" s="51">
        <v>45005.846504629597</v>
      </c>
      <c r="G1385" s="51">
        <v>45005.8499884259</v>
      </c>
      <c r="H1385" s="52">
        <v>3.3796296296299999E-3</v>
      </c>
      <c r="I1385">
        <v>20.316110610961914</v>
      </c>
      <c r="J1385">
        <v>9710.5489051398908</v>
      </c>
      <c r="K1385">
        <v>218.53602797362501</v>
      </c>
    </row>
    <row r="1386" spans="1:11" x14ac:dyDescent="0.25">
      <c r="A1386" t="s">
        <v>0</v>
      </c>
      <c r="B1386">
        <f>VLOOKUP(C1386,'[2]Ensaio 1'!$A$2:$F$28,6,FALSE)</f>
        <v>5</v>
      </c>
      <c r="C1386" s="36">
        <v>960000003784722</v>
      </c>
      <c r="D1386" s="36">
        <v>960000003784722</v>
      </c>
      <c r="E1386" s="1">
        <f t="shared" si="21"/>
        <v>45005</v>
      </c>
      <c r="F1386" s="51">
        <v>45005.9319791667</v>
      </c>
      <c r="G1386" s="51">
        <v>45005.935393518499</v>
      </c>
      <c r="H1386" s="52">
        <v>2.6504629629629998E-3</v>
      </c>
      <c r="I1386">
        <v>22.367500305175781</v>
      </c>
      <c r="J1386">
        <v>10236.4891926169</v>
      </c>
      <c r="K1386">
        <v>254.15944993391099</v>
      </c>
    </row>
    <row r="1387" spans="1:11" x14ac:dyDescent="0.25">
      <c r="A1387" t="s">
        <v>0</v>
      </c>
      <c r="B1387">
        <f>VLOOKUP(C1387,'[2]Ensaio 1'!$A$2:$F$28,6,FALSE)</f>
        <v>5</v>
      </c>
      <c r="C1387" s="36">
        <v>960000003784699</v>
      </c>
      <c r="D1387" s="36">
        <v>960000003784699</v>
      </c>
      <c r="E1387" s="1">
        <f t="shared" si="21"/>
        <v>45005</v>
      </c>
      <c r="F1387" s="51">
        <v>45005.943553240701</v>
      </c>
      <c r="G1387" s="51">
        <v>45005.946724537003</v>
      </c>
      <c r="H1387" s="52">
        <v>2.7893518518520002E-3</v>
      </c>
      <c r="I1387">
        <v>22.64527702331543</v>
      </c>
      <c r="J1387">
        <v>10463.346611516999</v>
      </c>
      <c r="K1387">
        <v>219.939681366934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BFD7C-A04C-4296-A183-FC4E00F4370F}">
  <dimension ref="A1:P22"/>
  <sheetViews>
    <sheetView workbookViewId="0">
      <selection activeCell="K2" sqref="K1:K1048576"/>
    </sheetView>
  </sheetViews>
  <sheetFormatPr defaultRowHeight="15" x14ac:dyDescent="0.25"/>
  <cols>
    <col min="5" max="5" width="10" bestFit="1" customWidth="1"/>
    <col min="6" max="9" width="8.85546875" bestFit="1" customWidth="1"/>
    <col min="10" max="10" width="10.5703125" bestFit="1" customWidth="1"/>
    <col min="11" max="13" width="9.28515625" bestFit="1" customWidth="1"/>
    <col min="14" max="14" width="8.85546875" bestFit="1" customWidth="1"/>
    <col min="15" max="15" width="12" bestFit="1" customWidth="1"/>
    <col min="16" max="16" width="10.28515625" bestFit="1" customWidth="1"/>
  </cols>
  <sheetData>
    <row r="1" spans="1:16" x14ac:dyDescent="0.25">
      <c r="E1" s="107" t="s">
        <v>74</v>
      </c>
      <c r="F1" s="107"/>
      <c r="G1" s="107"/>
      <c r="H1" s="107"/>
      <c r="I1" s="107"/>
      <c r="J1" s="107"/>
      <c r="K1" s="107" t="s">
        <v>75</v>
      </c>
      <c r="L1" s="107"/>
      <c r="M1" s="107"/>
      <c r="N1" s="107"/>
      <c r="O1" s="107"/>
      <c r="P1" s="107"/>
    </row>
    <row r="2" spans="1:16" s="40" customFormat="1" x14ac:dyDescent="0.25">
      <c r="A2" s="81" t="s">
        <v>66</v>
      </c>
      <c r="B2" s="81" t="s">
        <v>49</v>
      </c>
      <c r="C2" s="81" t="s">
        <v>29</v>
      </c>
      <c r="D2" s="81" t="s">
        <v>30</v>
      </c>
      <c r="E2" s="76" t="s">
        <v>68</v>
      </c>
      <c r="F2" s="76" t="s">
        <v>69</v>
      </c>
      <c r="G2" s="76" t="s">
        <v>70</v>
      </c>
      <c r="H2" s="76" t="s">
        <v>71</v>
      </c>
      <c r="I2" s="76" t="s">
        <v>72</v>
      </c>
      <c r="J2" s="76" t="s">
        <v>73</v>
      </c>
      <c r="K2" s="76" t="s">
        <v>69</v>
      </c>
      <c r="L2" s="76" t="s">
        <v>70</v>
      </c>
      <c r="M2" s="76" t="s">
        <v>71</v>
      </c>
      <c r="N2" s="76" t="s">
        <v>72</v>
      </c>
      <c r="O2" s="76" t="s">
        <v>73</v>
      </c>
      <c r="P2" s="82" t="s">
        <v>67</v>
      </c>
    </row>
    <row r="3" spans="1:16" x14ac:dyDescent="0.25">
      <c r="A3" t="s">
        <v>1</v>
      </c>
      <c r="B3">
        <v>1157</v>
      </c>
      <c r="C3" t="s">
        <v>0</v>
      </c>
      <c r="D3">
        <v>2</v>
      </c>
      <c r="E3" s="28">
        <f>1.51477+1.59921+1.454</f>
        <v>4.5679799999999995</v>
      </c>
      <c r="F3" s="28">
        <f>1.80567+0.8863</f>
        <v>2.69197</v>
      </c>
      <c r="G3" s="28">
        <f>0.7169+0.35137</f>
        <v>1.0682700000000001</v>
      </c>
      <c r="H3" s="28">
        <f>0.524+0.272</f>
        <v>0.79600000000000004</v>
      </c>
      <c r="I3" s="28">
        <f>0.0246+0.00369</f>
        <v>2.8289999999999999E-2</v>
      </c>
      <c r="J3" s="28">
        <f>0.0403+0.0473</f>
        <v>8.7600000000000011E-2</v>
      </c>
      <c r="K3" s="28">
        <f t="shared" ref="K3:K22" si="0">(F3/E3)*100</f>
        <v>58.931300049474835</v>
      </c>
      <c r="L3" s="28">
        <f t="shared" ref="L3:L22" si="1">(G3/E3)*100</f>
        <v>23.386048100035467</v>
      </c>
      <c r="M3" s="28">
        <f t="shared" ref="M3:M22" si="2">(H3/E3)*100</f>
        <v>17.425645471302417</v>
      </c>
      <c r="N3" s="28">
        <f t="shared" ref="N3:N22" si="3">(I3/E3)*100</f>
        <v>0.61931094269239362</v>
      </c>
      <c r="O3" s="28">
        <f t="shared" ref="O3:O22" si="4">(J3/E3)*100</f>
        <v>1.9176966624197131</v>
      </c>
      <c r="P3" s="36">
        <f>SUM(K3:O3)</f>
        <v>102.28000122592483</v>
      </c>
    </row>
    <row r="4" spans="1:16" x14ac:dyDescent="0.25">
      <c r="A4" t="s">
        <v>2</v>
      </c>
      <c r="B4">
        <v>3806</v>
      </c>
      <c r="C4" t="s">
        <v>0</v>
      </c>
      <c r="D4">
        <v>2</v>
      </c>
      <c r="E4" s="28">
        <f>1.844+1.704+1.896</f>
        <v>5.444</v>
      </c>
      <c r="F4" s="28">
        <f>2.59387+0.7121</f>
        <v>3.3059699999999999</v>
      </c>
      <c r="G4" s="28">
        <f>0.97854</f>
        <v>0.97853999999999997</v>
      </c>
      <c r="H4" s="28">
        <v>0.93600000000000005</v>
      </c>
      <c r="I4" s="28">
        <f>0.0304</f>
        <v>3.04E-2</v>
      </c>
      <c r="J4" s="28">
        <f>0.07174</f>
        <v>7.1739999999999998E-2</v>
      </c>
      <c r="K4" s="28">
        <f t="shared" si="0"/>
        <v>60.726855253490072</v>
      </c>
      <c r="L4" s="28">
        <f t="shared" si="1"/>
        <v>17.974650991917706</v>
      </c>
      <c r="M4" s="28">
        <f t="shared" si="2"/>
        <v>17.193240264511388</v>
      </c>
      <c r="N4" s="28">
        <f t="shared" si="3"/>
        <v>0.55841293166789119</v>
      </c>
      <c r="O4" s="28">
        <f t="shared" si="4"/>
        <v>1.3177810433504775</v>
      </c>
      <c r="P4" s="36">
        <f>SUM(K4:O4)</f>
        <v>97.77094048493754</v>
      </c>
    </row>
    <row r="5" spans="1:16" x14ac:dyDescent="0.25">
      <c r="A5" t="s">
        <v>3</v>
      </c>
      <c r="B5">
        <v>9868</v>
      </c>
      <c r="C5" t="s">
        <v>0</v>
      </c>
      <c r="D5">
        <v>2</v>
      </c>
      <c r="E5" s="28">
        <f>1.50889+1.85168+1.72479</f>
        <v>5.0853599999999997</v>
      </c>
      <c r="F5" s="28">
        <f>1.3415+0.85652+1.1065</f>
        <v>3.3045199999999997</v>
      </c>
      <c r="G5" s="28">
        <f>0.51388+0.33605</f>
        <v>0.84993000000000007</v>
      </c>
      <c r="H5" s="28">
        <f>0.52301+0.236</f>
        <v>0.75900999999999996</v>
      </c>
      <c r="I5" s="28">
        <f>0.05198+0.0218</f>
        <v>7.3779999999999998E-2</v>
      </c>
      <c r="J5" s="28">
        <f>0.05962+0.05136</f>
        <v>0.11098</v>
      </c>
      <c r="K5" s="28">
        <f t="shared" si="0"/>
        <v>64.981043623263645</v>
      </c>
      <c r="L5" s="28">
        <f t="shared" si="1"/>
        <v>16.71327103685875</v>
      </c>
      <c r="M5" s="28">
        <f t="shared" si="2"/>
        <v>14.925393679110229</v>
      </c>
      <c r="N5" s="28">
        <f t="shared" si="3"/>
        <v>1.4508314062327938</v>
      </c>
      <c r="O5" s="28">
        <f t="shared" si="4"/>
        <v>2.1823430396274794</v>
      </c>
      <c r="P5" s="36">
        <f>SUM(K5:O5)</f>
        <v>100.25288278509289</v>
      </c>
    </row>
    <row r="6" spans="1:16" x14ac:dyDescent="0.25">
      <c r="A6" t="s">
        <v>4</v>
      </c>
      <c r="B6">
        <v>3644</v>
      </c>
      <c r="C6" t="s">
        <v>0</v>
      </c>
      <c r="D6">
        <v>2</v>
      </c>
      <c r="E6" s="28">
        <f>1.562+1.782+1.572</f>
        <v>4.9160000000000004</v>
      </c>
      <c r="F6" s="28">
        <v>2.90768</v>
      </c>
      <c r="G6" s="28">
        <v>0.76266</v>
      </c>
      <c r="H6" s="28">
        <f>1.016</f>
        <v>1.016</v>
      </c>
      <c r="I6" s="28">
        <f>0.06879</f>
        <v>6.8790000000000004E-2</v>
      </c>
      <c r="J6" s="28">
        <f>0.12817</f>
        <v>0.12817000000000001</v>
      </c>
      <c r="K6" s="28">
        <f t="shared" si="0"/>
        <v>59.147274206672087</v>
      </c>
      <c r="L6" s="28">
        <f t="shared" si="1"/>
        <v>15.513832384052073</v>
      </c>
      <c r="M6" s="28">
        <f t="shared" si="2"/>
        <v>20.667209113100078</v>
      </c>
      <c r="N6" s="28">
        <f t="shared" si="3"/>
        <v>1.3993083807973963</v>
      </c>
      <c r="O6" s="28">
        <f t="shared" si="4"/>
        <v>2.60720097640358</v>
      </c>
      <c r="P6" s="36">
        <f t="shared" ref="P6:P7" si="5">SUM(K6:O6)</f>
        <v>99.334825061025214</v>
      </c>
    </row>
    <row r="7" spans="1:16" x14ac:dyDescent="0.25">
      <c r="A7" t="s">
        <v>5</v>
      </c>
      <c r="B7">
        <v>3912</v>
      </c>
      <c r="C7" t="s">
        <v>0</v>
      </c>
      <c r="D7">
        <v>2</v>
      </c>
      <c r="E7" s="28">
        <f>1.762+1.54+1.754</f>
        <v>5.056</v>
      </c>
      <c r="F7" s="28">
        <f>1.20543+1.23503</f>
        <v>2.4404599999999999</v>
      </c>
      <c r="G7" s="28">
        <f>1.42515</f>
        <v>1.4251499999999999</v>
      </c>
      <c r="H7" s="28">
        <f>0.98</f>
        <v>0.98</v>
      </c>
      <c r="I7" s="28">
        <f>0.02646</f>
        <v>2.6460000000000001E-2</v>
      </c>
      <c r="J7" s="28">
        <v>0.12249</v>
      </c>
      <c r="K7" s="28">
        <f t="shared" si="0"/>
        <v>48.2685917721519</v>
      </c>
      <c r="L7" s="28">
        <f t="shared" si="1"/>
        <v>28.18730221518987</v>
      </c>
      <c r="M7" s="28">
        <f t="shared" si="2"/>
        <v>19.382911392405063</v>
      </c>
      <c r="N7" s="28">
        <f t="shared" si="3"/>
        <v>0.52333860759493667</v>
      </c>
      <c r="O7" s="28">
        <f t="shared" si="4"/>
        <v>2.4226661392405062</v>
      </c>
      <c r="P7" s="36">
        <f t="shared" si="5"/>
        <v>98.784810126582272</v>
      </c>
    </row>
    <row r="8" spans="1:16" x14ac:dyDescent="0.25">
      <c r="A8" t="s">
        <v>6</v>
      </c>
      <c r="B8">
        <v>2562</v>
      </c>
      <c r="C8" t="s">
        <v>21</v>
      </c>
      <c r="D8">
        <v>3</v>
      </c>
      <c r="E8" s="28">
        <f>1.63236+1.38258+1.67954</f>
        <v>4.6944800000000004</v>
      </c>
      <c r="F8" s="28">
        <f>2.64619</f>
        <v>2.6461899999999998</v>
      </c>
      <c r="G8" s="28">
        <f>1.07174</f>
        <v>1.0717399999999999</v>
      </c>
      <c r="H8" s="28">
        <f>1.758-0.782</f>
        <v>0.97599999999999998</v>
      </c>
      <c r="I8" s="28">
        <f>0.06694</f>
        <v>6.694E-2</v>
      </c>
      <c r="J8" s="28">
        <v>7.5969999999999996E-2</v>
      </c>
      <c r="K8" s="28">
        <f t="shared" si="0"/>
        <v>56.368117448577891</v>
      </c>
      <c r="L8" s="28">
        <f t="shared" si="1"/>
        <v>22.829791585010476</v>
      </c>
      <c r="M8" s="28">
        <f t="shared" si="2"/>
        <v>20.790375078815966</v>
      </c>
      <c r="N8" s="28">
        <f t="shared" si="3"/>
        <v>1.425930028458956</v>
      </c>
      <c r="O8" s="28">
        <f t="shared" si="4"/>
        <v>1.6182836011656241</v>
      </c>
      <c r="P8" s="36">
        <f>SUM(K8:O8)</f>
        <v>103.03249774202891</v>
      </c>
    </row>
    <row r="9" spans="1:16" x14ac:dyDescent="0.25">
      <c r="A9" t="s">
        <v>7</v>
      </c>
      <c r="B9">
        <v>1180</v>
      </c>
      <c r="C9" t="s">
        <v>21</v>
      </c>
      <c r="D9">
        <v>3</v>
      </c>
      <c r="E9" s="28">
        <f>1.8718+2.2873+2.0878</f>
        <v>6.2469000000000001</v>
      </c>
      <c r="F9" s="28">
        <f>2.58016+1.1621</f>
        <v>3.7422599999999999</v>
      </c>
      <c r="G9" s="28">
        <f>0.8068+0.5019</f>
        <v>1.3087</v>
      </c>
      <c r="H9" s="28">
        <v>1.0620000000000001</v>
      </c>
      <c r="I9" s="28">
        <v>5.3900000000000003E-2</v>
      </c>
      <c r="J9" s="28">
        <v>5.9540000000000003E-2</v>
      </c>
      <c r="K9" s="28">
        <f t="shared" si="0"/>
        <v>59.905873313163326</v>
      </c>
      <c r="L9" s="28">
        <f t="shared" si="1"/>
        <v>20.949590997134578</v>
      </c>
      <c r="M9" s="28">
        <f t="shared" si="2"/>
        <v>17.000432214378332</v>
      </c>
      <c r="N9" s="28">
        <f t="shared" si="3"/>
        <v>0.86282796266948414</v>
      </c>
      <c r="O9" s="28">
        <f t="shared" si="4"/>
        <v>0.95311274392098477</v>
      </c>
      <c r="P9" s="36">
        <f>SUM(K9:O9)</f>
        <v>99.671837231266707</v>
      </c>
    </row>
    <row r="10" spans="1:16" x14ac:dyDescent="0.25">
      <c r="A10" t="s">
        <v>8</v>
      </c>
      <c r="B10">
        <v>7885</v>
      </c>
      <c r="C10" t="s">
        <v>21</v>
      </c>
      <c r="D10">
        <v>3</v>
      </c>
      <c r="E10" s="28">
        <f>1.652+1.86+1.506</f>
        <v>5.0179999999999998</v>
      </c>
      <c r="F10" s="28">
        <f>1.63015+1.17955</f>
        <v>2.8097000000000003</v>
      </c>
      <c r="G10" s="28">
        <v>1.31176</v>
      </c>
      <c r="H10" s="28">
        <f>0.76</f>
        <v>0.76</v>
      </c>
      <c r="I10" s="28">
        <v>4.3589999999999997E-2</v>
      </c>
      <c r="J10" s="28">
        <v>8.0799999999999997E-2</v>
      </c>
      <c r="K10" s="28">
        <f t="shared" si="0"/>
        <v>55.992427261857323</v>
      </c>
      <c r="L10" s="28">
        <f t="shared" si="1"/>
        <v>26.141092068553213</v>
      </c>
      <c r="M10" s="28">
        <f t="shared" si="2"/>
        <v>15.145476285372657</v>
      </c>
      <c r="N10" s="28">
        <f t="shared" si="3"/>
        <v>0.86867277799920273</v>
      </c>
      <c r="O10" s="28">
        <f t="shared" si="4"/>
        <v>1.6102032682343563</v>
      </c>
      <c r="P10" s="36">
        <f t="shared" ref="P10:P16" si="6">SUM(K10:O10)</f>
        <v>99.757871662016754</v>
      </c>
    </row>
    <row r="11" spans="1:16" x14ac:dyDescent="0.25">
      <c r="A11" t="s">
        <v>9</v>
      </c>
      <c r="B11">
        <v>3649</v>
      </c>
      <c r="C11" t="s">
        <v>21</v>
      </c>
      <c r="D11">
        <v>3</v>
      </c>
      <c r="E11" s="28">
        <f>2.01873+2.3499+1.8257</f>
        <v>6.1943299999999999</v>
      </c>
      <c r="F11" s="28">
        <f>2.0385+1.424</f>
        <v>3.4624999999999999</v>
      </c>
      <c r="G11" s="28">
        <f>1.0956+0.5014</f>
        <v>1.597</v>
      </c>
      <c r="H11" s="28">
        <v>0.99</v>
      </c>
      <c r="I11" s="28">
        <v>4.539E-2</v>
      </c>
      <c r="J11" s="28">
        <v>6.59E-2</v>
      </c>
      <c r="K11" s="28">
        <f t="shared" si="0"/>
        <v>55.897893718933275</v>
      </c>
      <c r="L11" s="28">
        <f t="shared" si="1"/>
        <v>25.781642243793922</v>
      </c>
      <c r="M11" s="28">
        <f t="shared" si="2"/>
        <v>15.982358059709444</v>
      </c>
      <c r="N11" s="28">
        <f t="shared" si="3"/>
        <v>0.73276690134364808</v>
      </c>
      <c r="O11" s="28">
        <f t="shared" si="4"/>
        <v>1.0638761577119722</v>
      </c>
      <c r="P11" s="36">
        <f t="shared" si="6"/>
        <v>99.458537081492267</v>
      </c>
    </row>
    <row r="12" spans="1:16" x14ac:dyDescent="0.25">
      <c r="A12" t="s">
        <v>10</v>
      </c>
      <c r="B12">
        <v>3894</v>
      </c>
      <c r="C12" t="s">
        <v>21</v>
      </c>
      <c r="D12">
        <v>3</v>
      </c>
      <c r="E12" s="28">
        <f>1.9629+1.719+2.1187</f>
        <v>5.8006000000000002</v>
      </c>
      <c r="F12" s="28">
        <f>1.77362+1.0585</f>
        <v>2.8321199999999997</v>
      </c>
      <c r="G12" s="28">
        <f>1.1017+0.6582</f>
        <v>1.7599</v>
      </c>
      <c r="H12" s="28">
        <f>0.708+0.364</f>
        <v>1.0720000000000001</v>
      </c>
      <c r="I12" s="28">
        <f>0.01114+0.0118</f>
        <v>2.2940000000000002E-2</v>
      </c>
      <c r="J12" s="28">
        <f>0.062+0.00945</f>
        <v>7.145E-2</v>
      </c>
      <c r="K12" s="28">
        <f t="shared" si="0"/>
        <v>48.824604351273997</v>
      </c>
      <c r="L12" s="28">
        <f t="shared" si="1"/>
        <v>30.339964831224354</v>
      </c>
      <c r="M12" s="28">
        <f t="shared" si="2"/>
        <v>18.480846808950798</v>
      </c>
      <c r="N12" s="28">
        <f t="shared" si="3"/>
        <v>0.39547633003482402</v>
      </c>
      <c r="O12" s="28">
        <f t="shared" si="4"/>
        <v>1.2317691273316553</v>
      </c>
      <c r="P12" s="36">
        <f t="shared" si="6"/>
        <v>99.27266144881564</v>
      </c>
    </row>
    <row r="13" spans="1:16" x14ac:dyDescent="0.25">
      <c r="A13" t="s">
        <v>11</v>
      </c>
      <c r="B13">
        <v>1177</v>
      </c>
      <c r="C13" t="s">
        <v>21</v>
      </c>
      <c r="D13">
        <v>4</v>
      </c>
      <c r="E13" s="28">
        <f>2.284+1.896+1.85</f>
        <v>6.0299999999999994</v>
      </c>
      <c r="F13" s="28">
        <f>1.98745+1.73706</f>
        <v>3.72451</v>
      </c>
      <c r="G13" s="28">
        <v>1.0788899999999999</v>
      </c>
      <c r="H13" s="28">
        <v>0.995</v>
      </c>
      <c r="I13" s="28">
        <v>4.7289999999999999E-2</v>
      </c>
      <c r="J13" s="28">
        <v>0.10329000000000001</v>
      </c>
      <c r="K13" s="28">
        <f t="shared" si="0"/>
        <v>61.766334991708128</v>
      </c>
      <c r="L13" s="28">
        <f t="shared" si="1"/>
        <v>17.892039800995025</v>
      </c>
      <c r="M13" s="28">
        <f t="shared" si="2"/>
        <v>16.500829187396356</v>
      </c>
      <c r="N13" s="28">
        <f t="shared" si="3"/>
        <v>0.78424543946932002</v>
      </c>
      <c r="O13" s="28">
        <f t="shared" si="4"/>
        <v>1.7129353233830846</v>
      </c>
      <c r="P13" s="36">
        <f t="shared" si="6"/>
        <v>98.6563847429519</v>
      </c>
    </row>
    <row r="14" spans="1:16" x14ac:dyDescent="0.25">
      <c r="A14" t="s">
        <v>12</v>
      </c>
      <c r="B14">
        <v>6505</v>
      </c>
      <c r="C14" t="s">
        <v>21</v>
      </c>
      <c r="D14">
        <v>4</v>
      </c>
      <c r="E14" s="28">
        <f>1.87+1.698+1.988</f>
        <v>5.556</v>
      </c>
      <c r="F14" s="28">
        <f>1.31663+1.95881</f>
        <v>3.2754399999999997</v>
      </c>
      <c r="G14" s="28">
        <v>1.1521999999999999</v>
      </c>
      <c r="H14" s="28">
        <f>0.866</f>
        <v>0.86599999999999999</v>
      </c>
      <c r="I14" s="28">
        <f>0.02268</f>
        <v>2.2679999999999999E-2</v>
      </c>
      <c r="J14" s="28">
        <f>0.17102</f>
        <v>0.17102000000000001</v>
      </c>
      <c r="K14" s="28">
        <f t="shared" si="0"/>
        <v>58.953203743700499</v>
      </c>
      <c r="L14" s="28">
        <f t="shared" si="1"/>
        <v>20.737940964722821</v>
      </c>
      <c r="M14" s="28">
        <f t="shared" si="2"/>
        <v>15.586753059755221</v>
      </c>
      <c r="N14" s="28">
        <f t="shared" si="3"/>
        <v>0.40820734341252701</v>
      </c>
      <c r="O14" s="28">
        <f t="shared" si="4"/>
        <v>3.0781137508999281</v>
      </c>
      <c r="P14" s="36">
        <f t="shared" si="6"/>
        <v>98.764218862491006</v>
      </c>
    </row>
    <row r="15" spans="1:16" x14ac:dyDescent="0.25">
      <c r="A15" t="s">
        <v>13</v>
      </c>
      <c r="B15">
        <v>3896</v>
      </c>
      <c r="C15" t="s">
        <v>21</v>
      </c>
      <c r="D15">
        <v>4</v>
      </c>
      <c r="E15" s="28">
        <f>1.538+1.388+1.492</f>
        <v>4.4180000000000001</v>
      </c>
      <c r="F15" s="28">
        <v>2.3440799999999999</v>
      </c>
      <c r="G15" s="28">
        <f>1.10349</f>
        <v>1.1034900000000001</v>
      </c>
      <c r="H15" s="28">
        <f>0.802</f>
        <v>0.80200000000000005</v>
      </c>
      <c r="I15" s="28">
        <v>3.1660000000000001E-2</v>
      </c>
      <c r="J15" s="28">
        <v>0.10856</v>
      </c>
      <c r="K15" s="28">
        <f t="shared" si="0"/>
        <v>53.057492077863287</v>
      </c>
      <c r="L15" s="28">
        <f t="shared" si="1"/>
        <v>24.977138976912631</v>
      </c>
      <c r="M15" s="28">
        <f t="shared" si="2"/>
        <v>18.153010411951108</v>
      </c>
      <c r="N15" s="28">
        <f t="shared" si="3"/>
        <v>0.71661385242191034</v>
      </c>
      <c r="O15" s="28">
        <f t="shared" si="4"/>
        <v>2.4572204617473972</v>
      </c>
      <c r="P15" s="36">
        <f t="shared" si="6"/>
        <v>99.361475780896342</v>
      </c>
    </row>
    <row r="16" spans="1:16" x14ac:dyDescent="0.25">
      <c r="A16" t="s">
        <v>14</v>
      </c>
      <c r="B16">
        <v>1183</v>
      </c>
      <c r="C16" t="s">
        <v>21</v>
      </c>
      <c r="D16">
        <v>4</v>
      </c>
      <c r="E16" s="28">
        <f>2.662+1.976+1.842</f>
        <v>6.48</v>
      </c>
      <c r="F16" s="28">
        <f>2.06234+1.9871</f>
        <v>4.0494399999999997</v>
      </c>
      <c r="G16" s="28">
        <v>1.08165</v>
      </c>
      <c r="H16" s="28">
        <f>1.152</f>
        <v>1.1519999999999999</v>
      </c>
      <c r="I16" s="28">
        <v>3.4079999999999999E-2</v>
      </c>
      <c r="J16" s="28">
        <f>0.09489</f>
        <v>9.4890000000000002E-2</v>
      </c>
      <c r="K16" s="28">
        <f t="shared" si="0"/>
        <v>62.491358024691344</v>
      </c>
      <c r="L16" s="28">
        <f t="shared" si="1"/>
        <v>16.69212962962963</v>
      </c>
      <c r="M16" s="28">
        <f t="shared" si="2"/>
        <v>17.777777777777775</v>
      </c>
      <c r="N16" s="28">
        <f t="shared" si="3"/>
        <v>0.52592592592592591</v>
      </c>
      <c r="O16" s="28">
        <f t="shared" si="4"/>
        <v>1.4643518518518517</v>
      </c>
      <c r="P16" s="36">
        <f t="shared" si="6"/>
        <v>98.951543209876519</v>
      </c>
    </row>
    <row r="17" spans="1:16" x14ac:dyDescent="0.25">
      <c r="A17" t="s">
        <v>15</v>
      </c>
      <c r="B17">
        <v>2927</v>
      </c>
      <c r="C17" t="s">
        <v>21</v>
      </c>
      <c r="D17">
        <v>4</v>
      </c>
      <c r="E17" s="28">
        <f>1.48863+1.36968+1.8485</f>
        <v>4.7068099999999999</v>
      </c>
      <c r="F17" s="28">
        <f>1.9509+1.08623</f>
        <v>3.0371300000000003</v>
      </c>
      <c r="G17" s="28">
        <v>0.80495000000000005</v>
      </c>
      <c r="H17" s="28">
        <v>0.83799999999999997</v>
      </c>
      <c r="I17" s="28">
        <v>5.9700000000000003E-2</v>
      </c>
      <c r="J17" s="28">
        <v>2.2499999999999999E-2</v>
      </c>
      <c r="K17" s="28">
        <f t="shared" si="0"/>
        <v>64.526292754540776</v>
      </c>
      <c r="L17" s="28">
        <f t="shared" si="1"/>
        <v>17.101816304460986</v>
      </c>
      <c r="M17" s="28">
        <f t="shared" si="2"/>
        <v>17.803990388394688</v>
      </c>
      <c r="N17" s="28">
        <f t="shared" si="3"/>
        <v>1.2683749715837265</v>
      </c>
      <c r="O17" s="28">
        <f t="shared" si="4"/>
        <v>0.47803076818482154</v>
      </c>
      <c r="P17" s="36">
        <f>SUM(K17:O17)</f>
        <v>101.17850518716499</v>
      </c>
    </row>
    <row r="18" spans="1:16" x14ac:dyDescent="0.25">
      <c r="A18" t="s">
        <v>16</v>
      </c>
      <c r="B18">
        <v>4130</v>
      </c>
      <c r="C18" t="s">
        <v>0</v>
      </c>
      <c r="D18">
        <v>5</v>
      </c>
      <c r="E18" s="28">
        <f>1.5829+1.9313+1.5121</f>
        <v>5.0263</v>
      </c>
      <c r="F18" s="28">
        <f>2.4103+0.64783</f>
        <v>3.0581299999999998</v>
      </c>
      <c r="G18" s="28">
        <v>0.89178999999999997</v>
      </c>
      <c r="H18" s="28">
        <v>0.89993000000000001</v>
      </c>
      <c r="I18" s="28">
        <v>4.5449999999999997E-2</v>
      </c>
      <c r="J18" s="28">
        <v>6.8890000000000007E-2</v>
      </c>
      <c r="K18" s="28">
        <f t="shared" si="0"/>
        <v>60.842568091836938</v>
      </c>
      <c r="L18" s="28">
        <f t="shared" si="1"/>
        <v>17.742474583689791</v>
      </c>
      <c r="M18" s="28">
        <f t="shared" si="2"/>
        <v>17.904422736406502</v>
      </c>
      <c r="N18" s="28">
        <f t="shared" si="3"/>
        <v>0.90424367825239238</v>
      </c>
      <c r="O18" s="28">
        <f t="shared" si="4"/>
        <v>1.3705906929550564</v>
      </c>
      <c r="P18" s="36">
        <f t="shared" ref="P18:P22" si="7">SUM(K18:O18)</f>
        <v>98.764299783140686</v>
      </c>
    </row>
    <row r="19" spans="1:16" x14ac:dyDescent="0.25">
      <c r="A19" t="s">
        <v>17</v>
      </c>
      <c r="B19">
        <v>3883</v>
      </c>
      <c r="C19" t="s">
        <v>0</v>
      </c>
      <c r="D19">
        <v>5</v>
      </c>
      <c r="E19" s="28">
        <f>1.40695+1.33185+1.46044</f>
        <v>4.1992399999999996</v>
      </c>
      <c r="F19" s="28">
        <f>2.295</f>
        <v>2.2949999999999999</v>
      </c>
      <c r="G19" s="28">
        <v>1.09873</v>
      </c>
      <c r="H19" s="28">
        <v>0.69599999999999995</v>
      </c>
      <c r="I19" s="28">
        <v>3.6609999999999997E-2</v>
      </c>
      <c r="J19" s="28">
        <f>0.0448</f>
        <v>4.48E-2</v>
      </c>
      <c r="K19" s="28">
        <f t="shared" si="0"/>
        <v>54.652746687495835</v>
      </c>
      <c r="L19" s="28">
        <f t="shared" si="1"/>
        <v>26.164972709347406</v>
      </c>
      <c r="M19" s="28">
        <f t="shared" si="2"/>
        <v>16.574427753593508</v>
      </c>
      <c r="N19" s="28">
        <f t="shared" si="3"/>
        <v>0.87182442537221028</v>
      </c>
      <c r="O19" s="28">
        <f t="shared" si="4"/>
        <v>1.0668597174726857</v>
      </c>
      <c r="P19" s="36">
        <f t="shared" si="7"/>
        <v>99.330831293281648</v>
      </c>
    </row>
    <row r="20" spans="1:16" x14ac:dyDescent="0.25">
      <c r="A20" t="s">
        <v>18</v>
      </c>
      <c r="B20">
        <v>3651</v>
      </c>
      <c r="C20" t="s">
        <v>0</v>
      </c>
      <c r="D20">
        <v>5</v>
      </c>
      <c r="E20" s="28">
        <f>1.7491+1.4522+1.423</f>
        <v>4.6242999999999999</v>
      </c>
      <c r="F20" s="28">
        <f>1.94897+0.84906</f>
        <v>2.7980300000000002</v>
      </c>
      <c r="G20" s="28">
        <f>0.58869+0.26725</f>
        <v>0.85594000000000003</v>
      </c>
      <c r="H20" s="28">
        <f>0.558+0.29</f>
        <v>0.84800000000000009</v>
      </c>
      <c r="I20" s="28">
        <f>0.01935+0.02702</f>
        <v>4.6369999999999995E-2</v>
      </c>
      <c r="J20" s="28">
        <f>0.04345+0.02648</f>
        <v>6.9930000000000006E-2</v>
      </c>
      <c r="K20" s="28">
        <f t="shared" si="0"/>
        <v>60.507103777869084</v>
      </c>
      <c r="L20" s="28">
        <f t="shared" si="1"/>
        <v>18.509612265640207</v>
      </c>
      <c r="M20" s="28">
        <f t="shared" si="2"/>
        <v>18.337910602685813</v>
      </c>
      <c r="N20" s="28">
        <f t="shared" si="3"/>
        <v>1.0027463616114871</v>
      </c>
      <c r="O20" s="28">
        <f t="shared" si="4"/>
        <v>1.5122288778842206</v>
      </c>
      <c r="P20" s="36">
        <f t="shared" si="7"/>
        <v>99.869601885690813</v>
      </c>
    </row>
    <row r="21" spans="1:16" x14ac:dyDescent="0.25">
      <c r="A21" t="s">
        <v>19</v>
      </c>
      <c r="B21">
        <v>8890</v>
      </c>
      <c r="C21" t="s">
        <v>0</v>
      </c>
      <c r="D21">
        <v>5</v>
      </c>
      <c r="E21" s="28">
        <f>1.6692+1.6727+2.0528</f>
        <v>5.3947000000000003</v>
      </c>
      <c r="F21" s="28">
        <f>1.84113+1.1755</f>
        <v>3.0166300000000001</v>
      </c>
      <c r="G21" s="28">
        <f>0.83602+0.481</f>
        <v>1.3170199999999999</v>
      </c>
      <c r="H21" s="28">
        <f>0.606+0.37</f>
        <v>0.97599999999999998</v>
      </c>
      <c r="I21" s="28">
        <f>0.02442+0.02222</f>
        <v>4.6640000000000001E-2</v>
      </c>
      <c r="J21" s="28">
        <f>0.037+0.0325</f>
        <v>6.9500000000000006E-2</v>
      </c>
      <c r="K21" s="28">
        <f t="shared" si="0"/>
        <v>55.918401393960735</v>
      </c>
      <c r="L21" s="28">
        <f t="shared" si="1"/>
        <v>24.413220382968465</v>
      </c>
      <c r="M21" s="28">
        <f t="shared" si="2"/>
        <v>18.091830871040095</v>
      </c>
      <c r="N21" s="28">
        <f t="shared" si="3"/>
        <v>0.86455224572265377</v>
      </c>
      <c r="O21" s="28">
        <f t="shared" si="4"/>
        <v>1.2883014810832856</v>
      </c>
      <c r="P21" s="36">
        <f t="shared" si="7"/>
        <v>100.57630637477523</v>
      </c>
    </row>
    <row r="22" spans="1:16" x14ac:dyDescent="0.25">
      <c r="A22" t="s">
        <v>20</v>
      </c>
      <c r="B22">
        <v>3831</v>
      </c>
      <c r="C22" t="s">
        <v>0</v>
      </c>
      <c r="D22">
        <v>5</v>
      </c>
      <c r="E22" s="28">
        <f>1.74+1.5405+1.6918</f>
        <v>4.9722999999999997</v>
      </c>
      <c r="F22" s="28">
        <f>1.7239+0.9289</f>
        <v>2.6528</v>
      </c>
      <c r="G22" s="28">
        <f>0.83525+0.4452</f>
        <v>1.2804500000000001</v>
      </c>
      <c r="H22" s="28">
        <f>0.596+0.292</f>
        <v>0.8879999999999999</v>
      </c>
      <c r="I22" s="28">
        <f>0.04408+0.01275</f>
        <v>5.6829999999999999E-2</v>
      </c>
      <c r="J22" s="28">
        <f>0.05693+0.00214</f>
        <v>5.9070000000000004E-2</v>
      </c>
      <c r="K22" s="28">
        <f t="shared" si="0"/>
        <v>53.351567684974768</v>
      </c>
      <c r="L22" s="28">
        <f t="shared" si="1"/>
        <v>25.75166421977757</v>
      </c>
      <c r="M22" s="28">
        <f t="shared" si="2"/>
        <v>17.858938519397462</v>
      </c>
      <c r="N22" s="28">
        <f t="shared" si="3"/>
        <v>1.1429318424069346</v>
      </c>
      <c r="O22" s="28">
        <f t="shared" si="4"/>
        <v>1.1879814170504597</v>
      </c>
      <c r="P22" s="83">
        <f t="shared" si="7"/>
        <v>99.293083683607207</v>
      </c>
    </row>
  </sheetData>
  <mergeCells count="2">
    <mergeCell ref="E1:J1"/>
    <mergeCell ref="K1:P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23A43-9860-4BEA-A105-32E71A6A3C1A}">
  <dimension ref="A1:G416"/>
  <sheetViews>
    <sheetView topLeftCell="A406" workbookViewId="0">
      <selection activeCell="A395" sqref="A395:XFD411"/>
    </sheetView>
  </sheetViews>
  <sheetFormatPr defaultRowHeight="15" x14ac:dyDescent="0.25"/>
  <cols>
    <col min="7" max="7" width="12.42578125" bestFit="1" customWidth="1"/>
  </cols>
  <sheetData>
    <row r="1" spans="1:7" s="5" customFormat="1" x14ac:dyDescent="0.25">
      <c r="A1" s="84" t="s">
        <v>80</v>
      </c>
      <c r="B1" s="85" t="s">
        <v>78</v>
      </c>
      <c r="C1" s="86" t="s">
        <v>30</v>
      </c>
      <c r="D1" s="86" t="s">
        <v>29</v>
      </c>
      <c r="E1" s="86" t="s">
        <v>79</v>
      </c>
      <c r="F1" s="86" t="s">
        <v>76</v>
      </c>
      <c r="G1" s="87" t="s">
        <v>77</v>
      </c>
    </row>
    <row r="2" spans="1:7" x14ac:dyDescent="0.25">
      <c r="A2" s="40">
        <v>1177</v>
      </c>
      <c r="B2" s="40">
        <v>17.100000000000001</v>
      </c>
      <c r="C2" s="40">
        <v>4</v>
      </c>
      <c r="D2" s="40" t="s">
        <v>21</v>
      </c>
      <c r="E2" s="40">
        <v>7</v>
      </c>
      <c r="F2" s="40">
        <v>2</v>
      </c>
      <c r="G2">
        <v>85.165819999999997</v>
      </c>
    </row>
    <row r="3" spans="1:7" x14ac:dyDescent="0.25">
      <c r="A3" s="40">
        <v>1177</v>
      </c>
      <c r="B3" s="40">
        <v>17.100000000000001</v>
      </c>
      <c r="C3" s="40">
        <v>4</v>
      </c>
      <c r="D3" s="40" t="s">
        <v>21</v>
      </c>
      <c r="E3" s="40">
        <v>7</v>
      </c>
      <c r="F3" s="40">
        <v>3</v>
      </c>
      <c r="G3">
        <v>51.494050000000001</v>
      </c>
    </row>
    <row r="4" spans="1:7" x14ac:dyDescent="0.25">
      <c r="A4" s="40">
        <v>1177</v>
      </c>
      <c r="B4" s="40">
        <v>17.100000000000001</v>
      </c>
      <c r="C4" s="40">
        <v>4</v>
      </c>
      <c r="D4" s="40" t="s">
        <v>21</v>
      </c>
      <c r="E4" s="40">
        <v>7</v>
      </c>
      <c r="F4" s="40">
        <v>5</v>
      </c>
      <c r="G4">
        <v>92.912099999999995</v>
      </c>
    </row>
    <row r="5" spans="1:7" x14ac:dyDescent="0.25">
      <c r="A5" s="40">
        <v>1177</v>
      </c>
      <c r="B5" s="40">
        <v>17.100000000000001</v>
      </c>
      <c r="C5" s="40">
        <v>4</v>
      </c>
      <c r="D5" s="40" t="s">
        <v>21</v>
      </c>
      <c r="E5" s="40">
        <v>7</v>
      </c>
      <c r="F5" s="40">
        <v>7</v>
      </c>
      <c r="G5">
        <v>70.744870000000006</v>
      </c>
    </row>
    <row r="6" spans="1:7" x14ac:dyDescent="0.25">
      <c r="A6" s="40">
        <v>1177</v>
      </c>
      <c r="B6" s="40">
        <v>17.100000000000001</v>
      </c>
      <c r="C6" s="40">
        <v>4</v>
      </c>
      <c r="D6" s="40" t="s">
        <v>21</v>
      </c>
      <c r="E6" s="40">
        <v>7</v>
      </c>
      <c r="F6" s="40">
        <v>8</v>
      </c>
      <c r="G6">
        <v>100.01465</v>
      </c>
    </row>
    <row r="7" spans="1:7" x14ac:dyDescent="0.25">
      <c r="A7" s="40">
        <v>1177</v>
      </c>
      <c r="B7" s="40">
        <v>17.100000000000001</v>
      </c>
      <c r="C7" s="40">
        <v>4</v>
      </c>
      <c r="D7" s="40" t="s">
        <v>21</v>
      </c>
      <c r="E7" s="40">
        <v>7</v>
      </c>
      <c r="F7" s="40">
        <v>9</v>
      </c>
      <c r="G7">
        <v>85.504260000000002</v>
      </c>
    </row>
    <row r="8" spans="1:7" x14ac:dyDescent="0.25">
      <c r="A8" s="40">
        <v>1177</v>
      </c>
      <c r="B8" s="40">
        <v>17.100000000000001</v>
      </c>
      <c r="C8" s="40">
        <v>4</v>
      </c>
      <c r="D8" s="40" t="s">
        <v>21</v>
      </c>
      <c r="E8" s="40">
        <v>7</v>
      </c>
      <c r="F8" s="40">
        <v>10</v>
      </c>
      <c r="G8">
        <v>104.14913</v>
      </c>
    </row>
    <row r="9" spans="1:7" x14ac:dyDescent="0.25">
      <c r="A9" s="40">
        <v>1177</v>
      </c>
      <c r="B9" s="40">
        <v>17.100000000000001</v>
      </c>
      <c r="C9" s="40">
        <v>4</v>
      </c>
      <c r="D9" s="40" t="s">
        <v>21</v>
      </c>
      <c r="E9" s="40">
        <v>7</v>
      </c>
      <c r="F9" s="40">
        <v>12</v>
      </c>
      <c r="G9">
        <v>115.13252</v>
      </c>
    </row>
    <row r="10" spans="1:7" x14ac:dyDescent="0.25">
      <c r="A10" s="40">
        <v>1177</v>
      </c>
      <c r="B10" s="40">
        <v>17.100000000000001</v>
      </c>
      <c r="C10" s="40">
        <v>4</v>
      </c>
      <c r="D10" s="40" t="s">
        <v>21</v>
      </c>
      <c r="E10" s="40">
        <v>7</v>
      </c>
      <c r="F10" s="40">
        <v>13</v>
      </c>
      <c r="G10">
        <v>75.598619999999997</v>
      </c>
    </row>
    <row r="11" spans="1:7" x14ac:dyDescent="0.25">
      <c r="A11" s="40">
        <v>1177</v>
      </c>
      <c r="B11" s="40">
        <v>17.100000000000001</v>
      </c>
      <c r="C11" s="40">
        <v>4</v>
      </c>
      <c r="D11" s="40" t="s">
        <v>21</v>
      </c>
      <c r="E11" s="40">
        <v>7</v>
      </c>
      <c r="F11" s="40">
        <v>14</v>
      </c>
      <c r="G11">
        <v>71.576700000000002</v>
      </c>
    </row>
    <row r="12" spans="1:7" x14ac:dyDescent="0.25">
      <c r="A12" s="40">
        <v>1177</v>
      </c>
      <c r="B12" s="40">
        <v>17.100000000000001</v>
      </c>
      <c r="C12" s="40">
        <v>4</v>
      </c>
      <c r="D12" s="40" t="s">
        <v>21</v>
      </c>
      <c r="E12" s="40">
        <v>7</v>
      </c>
      <c r="F12" s="40">
        <v>15</v>
      </c>
      <c r="G12">
        <v>57.624459999999999</v>
      </c>
    </row>
    <row r="13" spans="1:7" x14ac:dyDescent="0.25">
      <c r="A13" s="40">
        <v>1177</v>
      </c>
      <c r="B13" s="40">
        <v>17.100000000000001</v>
      </c>
      <c r="C13" s="40">
        <v>4</v>
      </c>
      <c r="D13" s="40" t="s">
        <v>21</v>
      </c>
      <c r="E13" s="40">
        <v>7</v>
      </c>
      <c r="F13" s="40">
        <v>16</v>
      </c>
      <c r="G13">
        <v>45.882480000000001</v>
      </c>
    </row>
    <row r="14" spans="1:7" x14ac:dyDescent="0.25">
      <c r="A14" s="40">
        <v>1177</v>
      </c>
      <c r="B14" s="40">
        <v>17.100000000000001</v>
      </c>
      <c r="C14" s="40">
        <v>4</v>
      </c>
      <c r="D14" s="40" t="s">
        <v>21</v>
      </c>
      <c r="E14" s="40">
        <v>7</v>
      </c>
      <c r="F14" s="40">
        <v>17</v>
      </c>
      <c r="G14">
        <v>61.199249999999999</v>
      </c>
    </row>
    <row r="15" spans="1:7" x14ac:dyDescent="0.25">
      <c r="A15" s="40">
        <v>1177</v>
      </c>
      <c r="B15" s="40">
        <v>17.100000000000001</v>
      </c>
      <c r="C15" s="40">
        <v>4</v>
      </c>
      <c r="D15" s="40" t="s">
        <v>21</v>
      </c>
      <c r="E15" s="40">
        <v>7</v>
      </c>
      <c r="F15" s="40">
        <v>18</v>
      </c>
      <c r="G15">
        <v>71.44641</v>
      </c>
    </row>
    <row r="16" spans="1:7" x14ac:dyDescent="0.25">
      <c r="A16" s="40">
        <v>1177</v>
      </c>
      <c r="B16" s="40">
        <v>17.100000000000001</v>
      </c>
      <c r="C16" s="40">
        <v>4</v>
      </c>
      <c r="D16" s="40" t="s">
        <v>21</v>
      </c>
      <c r="E16" s="40">
        <v>7</v>
      </c>
      <c r="F16" s="40">
        <v>19</v>
      </c>
      <c r="G16">
        <v>83.021109999999993</v>
      </c>
    </row>
    <row r="17" spans="1:7" x14ac:dyDescent="0.25">
      <c r="A17" s="40">
        <v>1177</v>
      </c>
      <c r="B17" s="40">
        <v>17.100000000000001</v>
      </c>
      <c r="C17" s="40">
        <v>4</v>
      </c>
      <c r="D17" s="40" t="s">
        <v>21</v>
      </c>
      <c r="E17" s="40">
        <v>7</v>
      </c>
      <c r="F17" s="40">
        <v>20</v>
      </c>
      <c r="G17">
        <v>68.303340000000006</v>
      </c>
    </row>
    <row r="18" spans="1:7" x14ac:dyDescent="0.25">
      <c r="A18" s="40">
        <v>1177</v>
      </c>
      <c r="B18" s="40">
        <v>17.100000000000001</v>
      </c>
      <c r="C18" s="40">
        <v>4</v>
      </c>
      <c r="D18" s="40" t="s">
        <v>21</v>
      </c>
      <c r="E18" s="40">
        <v>7</v>
      </c>
      <c r="F18" s="40">
        <v>21</v>
      </c>
      <c r="G18">
        <v>97.177629999999994</v>
      </c>
    </row>
    <row r="19" spans="1:7" x14ac:dyDescent="0.25">
      <c r="A19" s="58">
        <v>1177</v>
      </c>
      <c r="B19" s="58">
        <v>17.100000000000001</v>
      </c>
      <c r="C19" s="58">
        <v>4</v>
      </c>
      <c r="D19" s="58" t="s">
        <v>21</v>
      </c>
      <c r="E19" s="58">
        <v>7</v>
      </c>
      <c r="F19" s="58">
        <v>22</v>
      </c>
      <c r="G19">
        <v>65.855649999999997</v>
      </c>
    </row>
    <row r="20" spans="1:7" x14ac:dyDescent="0.25">
      <c r="A20" s="40">
        <v>1180</v>
      </c>
      <c r="B20" s="40">
        <v>16.96</v>
      </c>
      <c r="C20" s="40">
        <v>3</v>
      </c>
      <c r="D20" s="40" t="s">
        <v>21</v>
      </c>
      <c r="E20" s="40">
        <v>7</v>
      </c>
      <c r="F20" s="40">
        <v>1</v>
      </c>
      <c r="G20">
        <v>47.084350000000001</v>
      </c>
    </row>
    <row r="21" spans="1:7" x14ac:dyDescent="0.25">
      <c r="A21" s="40">
        <v>1180</v>
      </c>
      <c r="B21" s="40">
        <v>16.96</v>
      </c>
      <c r="C21" s="40">
        <v>3</v>
      </c>
      <c r="D21" s="40" t="s">
        <v>21</v>
      </c>
      <c r="E21" s="40">
        <v>7</v>
      </c>
      <c r="F21" s="40">
        <v>2</v>
      </c>
      <c r="G21">
        <v>46.129179999999998</v>
      </c>
    </row>
    <row r="22" spans="1:7" x14ac:dyDescent="0.25">
      <c r="A22" s="40">
        <v>1180</v>
      </c>
      <c r="B22" s="40">
        <v>16.96</v>
      </c>
      <c r="C22" s="40">
        <v>3</v>
      </c>
      <c r="D22" s="40" t="s">
        <v>21</v>
      </c>
      <c r="E22" s="40">
        <v>7</v>
      </c>
      <c r="F22" s="40">
        <v>5</v>
      </c>
      <c r="G22">
        <v>44.103180000000002</v>
      </c>
    </row>
    <row r="23" spans="1:7" x14ac:dyDescent="0.25">
      <c r="A23" s="40">
        <v>1180</v>
      </c>
      <c r="B23" s="40">
        <v>16.96</v>
      </c>
      <c r="C23" s="40">
        <v>3</v>
      </c>
      <c r="D23" s="40" t="s">
        <v>21</v>
      </c>
      <c r="E23" s="40">
        <v>7</v>
      </c>
      <c r="F23" s="40">
        <v>7</v>
      </c>
      <c r="G23">
        <v>45.79768</v>
      </c>
    </row>
    <row r="24" spans="1:7" x14ac:dyDescent="0.25">
      <c r="A24" s="40">
        <v>1180</v>
      </c>
      <c r="B24" s="40">
        <v>16.96</v>
      </c>
      <c r="C24" s="40">
        <v>3</v>
      </c>
      <c r="D24" s="40" t="s">
        <v>21</v>
      </c>
      <c r="E24" s="40">
        <v>7</v>
      </c>
      <c r="F24" s="40">
        <v>8</v>
      </c>
      <c r="G24">
        <v>39.711979999999997</v>
      </c>
    </row>
    <row r="25" spans="1:7" x14ac:dyDescent="0.25">
      <c r="A25" s="40">
        <v>1180</v>
      </c>
      <c r="B25" s="40">
        <v>16.96</v>
      </c>
      <c r="C25" s="40">
        <v>3</v>
      </c>
      <c r="D25" s="40" t="s">
        <v>21</v>
      </c>
      <c r="E25" s="40">
        <v>7</v>
      </c>
      <c r="F25" s="40">
        <v>9</v>
      </c>
      <c r="G25">
        <v>43.460230000000003</v>
      </c>
    </row>
    <row r="26" spans="1:7" x14ac:dyDescent="0.25">
      <c r="A26" s="40">
        <v>1180</v>
      </c>
      <c r="B26" s="40">
        <v>16.96</v>
      </c>
      <c r="C26" s="40">
        <v>3</v>
      </c>
      <c r="D26" s="40" t="s">
        <v>21</v>
      </c>
      <c r="E26" s="40">
        <v>7</v>
      </c>
      <c r="F26" s="40">
        <v>12</v>
      </c>
      <c r="G26">
        <v>48.794269999999997</v>
      </c>
    </row>
    <row r="27" spans="1:7" x14ac:dyDescent="0.25">
      <c r="A27" s="40">
        <v>1180</v>
      </c>
      <c r="B27" s="40">
        <v>16.96</v>
      </c>
      <c r="C27" s="40">
        <v>3</v>
      </c>
      <c r="D27" s="40" t="s">
        <v>21</v>
      </c>
      <c r="E27" s="40">
        <v>7</v>
      </c>
      <c r="F27" s="40">
        <v>14</v>
      </c>
      <c r="G27">
        <v>49.9283</v>
      </c>
    </row>
    <row r="28" spans="1:7" x14ac:dyDescent="0.25">
      <c r="A28" s="40">
        <v>1180</v>
      </c>
      <c r="B28" s="40">
        <v>16.96</v>
      </c>
      <c r="C28" s="40">
        <v>3</v>
      </c>
      <c r="D28" s="40" t="s">
        <v>21</v>
      </c>
      <c r="E28" s="40">
        <v>7</v>
      </c>
      <c r="F28" s="40">
        <v>16</v>
      </c>
      <c r="G28">
        <v>39.727400000000003</v>
      </c>
    </row>
    <row r="29" spans="1:7" x14ac:dyDescent="0.25">
      <c r="A29" s="40">
        <v>1180</v>
      </c>
      <c r="B29" s="40">
        <v>16.96</v>
      </c>
      <c r="C29" s="40">
        <v>3</v>
      </c>
      <c r="D29" s="40" t="s">
        <v>21</v>
      </c>
      <c r="E29" s="40">
        <v>7</v>
      </c>
      <c r="F29" s="40">
        <v>18</v>
      </c>
      <c r="G29">
        <v>44.305929999999996</v>
      </c>
    </row>
    <row r="30" spans="1:7" x14ac:dyDescent="0.25">
      <c r="A30" s="40">
        <v>1180</v>
      </c>
      <c r="B30" s="40">
        <v>16.96</v>
      </c>
      <c r="C30" s="40">
        <v>3</v>
      </c>
      <c r="D30" s="40" t="s">
        <v>21</v>
      </c>
      <c r="E30" s="40">
        <v>7</v>
      </c>
      <c r="F30" s="40">
        <v>19</v>
      </c>
      <c r="G30">
        <v>47.043489999999998</v>
      </c>
    </row>
    <row r="31" spans="1:7" x14ac:dyDescent="0.25">
      <c r="A31" s="40">
        <v>1180</v>
      </c>
      <c r="B31" s="40">
        <v>16.96</v>
      </c>
      <c r="C31" s="40">
        <v>3</v>
      </c>
      <c r="D31" s="40" t="s">
        <v>21</v>
      </c>
      <c r="E31" s="40">
        <v>7</v>
      </c>
      <c r="F31" s="40">
        <v>20</v>
      </c>
      <c r="G31">
        <v>42.705489999999998</v>
      </c>
    </row>
    <row r="32" spans="1:7" x14ac:dyDescent="0.25">
      <c r="A32" s="40">
        <v>1180</v>
      </c>
      <c r="B32" s="40">
        <v>16.96</v>
      </c>
      <c r="C32" s="40">
        <v>3</v>
      </c>
      <c r="D32" s="40" t="s">
        <v>21</v>
      </c>
      <c r="E32" s="40">
        <v>7</v>
      </c>
      <c r="F32" s="40">
        <v>21</v>
      </c>
      <c r="G32">
        <v>43.255159999999997</v>
      </c>
    </row>
    <row r="33" spans="1:7" x14ac:dyDescent="0.25">
      <c r="A33" s="40">
        <v>1180</v>
      </c>
      <c r="B33" s="40">
        <v>16.96</v>
      </c>
      <c r="C33" s="40">
        <v>3</v>
      </c>
      <c r="D33" s="40" t="s">
        <v>21</v>
      </c>
      <c r="E33" s="40">
        <v>7</v>
      </c>
      <c r="F33" s="40">
        <v>22</v>
      </c>
      <c r="G33">
        <v>41.44502</v>
      </c>
    </row>
    <row r="34" spans="1:7" x14ac:dyDescent="0.25">
      <c r="A34" s="40">
        <v>1180</v>
      </c>
      <c r="B34" s="40">
        <v>16.96</v>
      </c>
      <c r="C34" s="40">
        <v>3</v>
      </c>
      <c r="D34" s="40" t="s">
        <v>21</v>
      </c>
      <c r="E34" s="40">
        <v>7</v>
      </c>
      <c r="F34" s="40">
        <v>23</v>
      </c>
      <c r="G34">
        <v>38.658119999999997</v>
      </c>
    </row>
    <row r="35" spans="1:7" x14ac:dyDescent="0.25">
      <c r="A35" s="40">
        <v>1180</v>
      </c>
      <c r="B35" s="40">
        <v>16.96</v>
      </c>
      <c r="C35" s="40">
        <v>3</v>
      </c>
      <c r="D35" s="40" t="s">
        <v>21</v>
      </c>
      <c r="E35" s="40">
        <v>7</v>
      </c>
      <c r="F35" s="40">
        <v>24</v>
      </c>
      <c r="G35">
        <v>41.21837</v>
      </c>
    </row>
    <row r="36" spans="1:7" x14ac:dyDescent="0.25">
      <c r="A36" s="40">
        <v>1180</v>
      </c>
      <c r="B36" s="40">
        <v>16.96</v>
      </c>
      <c r="C36" s="40">
        <v>3</v>
      </c>
      <c r="D36" s="40" t="s">
        <v>21</v>
      </c>
      <c r="E36" s="40">
        <v>7</v>
      </c>
      <c r="F36" s="40">
        <v>25</v>
      </c>
      <c r="G36">
        <v>42.280709999999999</v>
      </c>
    </row>
    <row r="37" spans="1:7" x14ac:dyDescent="0.25">
      <c r="A37" s="40">
        <v>1180</v>
      </c>
      <c r="B37" s="40">
        <v>16.96</v>
      </c>
      <c r="C37" s="40">
        <v>3</v>
      </c>
      <c r="D37" s="40" t="s">
        <v>21</v>
      </c>
      <c r="E37" s="40">
        <v>7</v>
      </c>
      <c r="F37" s="40">
        <v>26</v>
      </c>
      <c r="G37">
        <v>43.790950000000002</v>
      </c>
    </row>
    <row r="38" spans="1:7" x14ac:dyDescent="0.25">
      <c r="A38" s="58">
        <v>1180</v>
      </c>
      <c r="B38" s="58">
        <v>16.96</v>
      </c>
      <c r="C38" s="58">
        <v>3</v>
      </c>
      <c r="D38" s="58" t="s">
        <v>21</v>
      </c>
      <c r="E38" s="58">
        <v>7</v>
      </c>
      <c r="F38" s="58">
        <v>27</v>
      </c>
      <c r="G38">
        <v>48.035679999999999</v>
      </c>
    </row>
    <row r="39" spans="1:7" x14ac:dyDescent="0.25">
      <c r="A39" s="40">
        <v>1183</v>
      </c>
      <c r="B39" s="40">
        <v>16.77</v>
      </c>
      <c r="C39" s="40">
        <v>4</v>
      </c>
      <c r="D39" s="40" t="s">
        <v>21</v>
      </c>
      <c r="E39" s="40">
        <v>7</v>
      </c>
      <c r="F39" s="40">
        <v>2</v>
      </c>
      <c r="G39">
        <v>62.741109999999999</v>
      </c>
    </row>
    <row r="40" spans="1:7" x14ac:dyDescent="0.25">
      <c r="A40" s="40">
        <v>1183</v>
      </c>
      <c r="B40" s="40">
        <v>16.77</v>
      </c>
      <c r="C40" s="40">
        <v>4</v>
      </c>
      <c r="D40" s="40" t="s">
        <v>21</v>
      </c>
      <c r="E40" s="40">
        <v>7</v>
      </c>
      <c r="F40" s="40">
        <v>3</v>
      </c>
      <c r="G40">
        <v>107.6314</v>
      </c>
    </row>
    <row r="41" spans="1:7" x14ac:dyDescent="0.25">
      <c r="A41" s="40">
        <v>1183</v>
      </c>
      <c r="B41" s="40">
        <v>16.77</v>
      </c>
      <c r="C41" s="40">
        <v>4</v>
      </c>
      <c r="D41" s="40" t="s">
        <v>21</v>
      </c>
      <c r="E41" s="40">
        <v>7</v>
      </c>
      <c r="F41" s="40">
        <v>4</v>
      </c>
      <c r="G41">
        <v>98.790409999999994</v>
      </c>
    </row>
    <row r="42" spans="1:7" x14ac:dyDescent="0.25">
      <c r="A42" s="40">
        <v>1183</v>
      </c>
      <c r="B42" s="40">
        <v>16.77</v>
      </c>
      <c r="C42" s="40">
        <v>4</v>
      </c>
      <c r="D42" s="40" t="s">
        <v>21</v>
      </c>
      <c r="E42" s="40">
        <v>7</v>
      </c>
      <c r="F42" s="40">
        <v>5</v>
      </c>
      <c r="G42">
        <v>107.65376000000001</v>
      </c>
    </row>
    <row r="43" spans="1:7" x14ac:dyDescent="0.25">
      <c r="A43" s="40">
        <v>1183</v>
      </c>
      <c r="B43" s="40">
        <v>16.77</v>
      </c>
      <c r="C43" s="40">
        <v>4</v>
      </c>
      <c r="D43" s="40" t="s">
        <v>21</v>
      </c>
      <c r="E43" s="40">
        <v>7</v>
      </c>
      <c r="F43" s="40">
        <v>6</v>
      </c>
      <c r="G43">
        <v>109.63658</v>
      </c>
    </row>
    <row r="44" spans="1:7" x14ac:dyDescent="0.25">
      <c r="A44" s="40">
        <v>1183</v>
      </c>
      <c r="B44" s="40">
        <v>16.77</v>
      </c>
      <c r="C44" s="40">
        <v>4</v>
      </c>
      <c r="D44" s="40" t="s">
        <v>21</v>
      </c>
      <c r="E44" s="40">
        <v>7</v>
      </c>
      <c r="F44" s="40">
        <v>7</v>
      </c>
      <c r="G44">
        <v>91.690179999999998</v>
      </c>
    </row>
    <row r="45" spans="1:7" x14ac:dyDescent="0.25">
      <c r="A45" s="40">
        <v>1183</v>
      </c>
      <c r="B45" s="40">
        <v>16.77</v>
      </c>
      <c r="C45" s="40">
        <v>4</v>
      </c>
      <c r="D45" s="40" t="s">
        <v>21</v>
      </c>
      <c r="E45" s="40">
        <v>7</v>
      </c>
      <c r="F45" s="40">
        <v>8</v>
      </c>
      <c r="G45">
        <v>92.776409999999998</v>
      </c>
    </row>
    <row r="46" spans="1:7" x14ac:dyDescent="0.25">
      <c r="A46" s="40">
        <v>1183</v>
      </c>
      <c r="B46" s="40">
        <v>16.77</v>
      </c>
      <c r="C46" s="40">
        <v>4</v>
      </c>
      <c r="D46" s="40" t="s">
        <v>21</v>
      </c>
      <c r="E46" s="40">
        <v>7</v>
      </c>
      <c r="F46" s="40">
        <v>9</v>
      </c>
      <c r="G46">
        <v>98.400319999999994</v>
      </c>
    </row>
    <row r="47" spans="1:7" x14ac:dyDescent="0.25">
      <c r="A47" s="40">
        <v>1183</v>
      </c>
      <c r="B47" s="40">
        <v>16.77</v>
      </c>
      <c r="C47" s="40">
        <v>4</v>
      </c>
      <c r="D47" s="40" t="s">
        <v>21</v>
      </c>
      <c r="E47" s="40">
        <v>7</v>
      </c>
      <c r="F47" s="40">
        <v>10</v>
      </c>
      <c r="G47">
        <v>52.58954</v>
      </c>
    </row>
    <row r="48" spans="1:7" x14ac:dyDescent="0.25">
      <c r="A48" s="40">
        <v>1183</v>
      </c>
      <c r="B48" s="40">
        <v>16.77</v>
      </c>
      <c r="C48" s="40">
        <v>4</v>
      </c>
      <c r="D48" s="40" t="s">
        <v>21</v>
      </c>
      <c r="E48" s="40">
        <v>7</v>
      </c>
      <c r="F48" s="40">
        <v>11</v>
      </c>
      <c r="G48">
        <v>55.74109</v>
      </c>
    </row>
    <row r="49" spans="1:7" x14ac:dyDescent="0.25">
      <c r="A49" s="40">
        <v>1183</v>
      </c>
      <c r="B49" s="40">
        <v>16.77</v>
      </c>
      <c r="C49" s="40">
        <v>4</v>
      </c>
      <c r="D49" s="40" t="s">
        <v>21</v>
      </c>
      <c r="E49" s="40">
        <v>7</v>
      </c>
      <c r="F49" s="40">
        <v>12</v>
      </c>
      <c r="G49">
        <v>63.144300000000001</v>
      </c>
    </row>
    <row r="50" spans="1:7" x14ac:dyDescent="0.25">
      <c r="A50" s="40">
        <v>1183</v>
      </c>
      <c r="B50" s="40">
        <v>16.77</v>
      </c>
      <c r="C50" s="40">
        <v>4</v>
      </c>
      <c r="D50" s="40" t="s">
        <v>21</v>
      </c>
      <c r="E50" s="40">
        <v>7</v>
      </c>
      <c r="F50" s="40">
        <v>13</v>
      </c>
      <c r="G50">
        <v>92.357029999999995</v>
      </c>
    </row>
    <row r="51" spans="1:7" x14ac:dyDescent="0.25">
      <c r="A51" s="40">
        <v>1183</v>
      </c>
      <c r="B51" s="40">
        <v>16.77</v>
      </c>
      <c r="C51" s="40">
        <v>4</v>
      </c>
      <c r="D51" s="40" t="s">
        <v>21</v>
      </c>
      <c r="E51" s="40">
        <v>7</v>
      </c>
      <c r="F51" s="40">
        <v>14</v>
      </c>
      <c r="G51">
        <v>81.20326</v>
      </c>
    </row>
    <row r="52" spans="1:7" x14ac:dyDescent="0.25">
      <c r="A52" s="40">
        <v>1183</v>
      </c>
      <c r="B52" s="40">
        <v>16.77</v>
      </c>
      <c r="C52" s="40">
        <v>4</v>
      </c>
      <c r="D52" s="40" t="s">
        <v>21</v>
      </c>
      <c r="E52" s="40">
        <v>7</v>
      </c>
      <c r="F52" s="40">
        <v>15</v>
      </c>
      <c r="G52">
        <v>90.913079999999994</v>
      </c>
    </row>
    <row r="53" spans="1:7" x14ac:dyDescent="0.25">
      <c r="A53" s="40">
        <v>1183</v>
      </c>
      <c r="B53" s="40">
        <v>16.77</v>
      </c>
      <c r="C53" s="40">
        <v>4</v>
      </c>
      <c r="D53" s="40" t="s">
        <v>21</v>
      </c>
      <c r="E53" s="40">
        <v>7</v>
      </c>
      <c r="F53" s="40">
        <v>16</v>
      </c>
      <c r="G53">
        <v>92.777180000000001</v>
      </c>
    </row>
    <row r="54" spans="1:7" x14ac:dyDescent="0.25">
      <c r="A54" s="40">
        <v>1183</v>
      </c>
      <c r="B54" s="40">
        <v>16.77</v>
      </c>
      <c r="C54" s="40">
        <v>4</v>
      </c>
      <c r="D54" s="40" t="s">
        <v>21</v>
      </c>
      <c r="E54" s="40">
        <v>7</v>
      </c>
      <c r="F54" s="40">
        <v>17</v>
      </c>
      <c r="G54">
        <v>83.166809999999998</v>
      </c>
    </row>
    <row r="55" spans="1:7" x14ac:dyDescent="0.25">
      <c r="A55" s="40">
        <v>1183</v>
      </c>
      <c r="B55" s="40">
        <v>16.77</v>
      </c>
      <c r="C55" s="40">
        <v>4</v>
      </c>
      <c r="D55" s="40" t="s">
        <v>21</v>
      </c>
      <c r="E55" s="40">
        <v>7</v>
      </c>
      <c r="F55" s="40">
        <v>18</v>
      </c>
      <c r="G55">
        <v>84.939170000000004</v>
      </c>
    </row>
    <row r="56" spans="1:7" x14ac:dyDescent="0.25">
      <c r="A56" s="40">
        <v>1183</v>
      </c>
      <c r="B56" s="40">
        <v>16.77</v>
      </c>
      <c r="C56" s="40">
        <v>4</v>
      </c>
      <c r="D56" s="40" t="s">
        <v>21</v>
      </c>
      <c r="E56" s="40">
        <v>7</v>
      </c>
      <c r="F56" s="40">
        <v>20</v>
      </c>
      <c r="G56">
        <v>88.258009999999999</v>
      </c>
    </row>
    <row r="57" spans="1:7" x14ac:dyDescent="0.25">
      <c r="A57" s="40">
        <v>1183</v>
      </c>
      <c r="B57" s="40">
        <v>16.77</v>
      </c>
      <c r="C57" s="40">
        <v>4</v>
      </c>
      <c r="D57" s="40" t="s">
        <v>21</v>
      </c>
      <c r="E57" s="40">
        <v>7</v>
      </c>
      <c r="F57" s="40">
        <v>21</v>
      </c>
      <c r="G57">
        <v>85.602170000000001</v>
      </c>
    </row>
    <row r="58" spans="1:7" x14ac:dyDescent="0.25">
      <c r="A58" s="40">
        <v>1183</v>
      </c>
      <c r="B58" s="40">
        <v>16.77</v>
      </c>
      <c r="C58" s="40">
        <v>4</v>
      </c>
      <c r="D58" s="40" t="s">
        <v>21</v>
      </c>
      <c r="E58" s="40">
        <v>7</v>
      </c>
      <c r="F58" s="40">
        <v>23</v>
      </c>
      <c r="G58">
        <v>47.925429999999999</v>
      </c>
    </row>
    <row r="59" spans="1:7" x14ac:dyDescent="0.25">
      <c r="A59" s="40">
        <v>1183</v>
      </c>
      <c r="B59" s="40">
        <v>16.77</v>
      </c>
      <c r="C59" s="40">
        <v>4</v>
      </c>
      <c r="D59" s="40" t="s">
        <v>21</v>
      </c>
      <c r="E59" s="40">
        <v>7</v>
      </c>
      <c r="F59" s="40">
        <v>24</v>
      </c>
      <c r="G59">
        <v>105.51212</v>
      </c>
    </row>
    <row r="60" spans="1:7" x14ac:dyDescent="0.25">
      <c r="A60" s="40">
        <v>1183</v>
      </c>
      <c r="B60" s="40">
        <v>16.77</v>
      </c>
      <c r="C60" s="40">
        <v>4</v>
      </c>
      <c r="D60" s="40" t="s">
        <v>21</v>
      </c>
      <c r="E60" s="40">
        <v>7</v>
      </c>
      <c r="F60" s="40">
        <v>26</v>
      </c>
      <c r="G60">
        <v>99.438760000000002</v>
      </c>
    </row>
    <row r="61" spans="1:7" x14ac:dyDescent="0.25">
      <c r="A61" s="40">
        <v>1183</v>
      </c>
      <c r="B61" s="40">
        <v>16.77</v>
      </c>
      <c r="C61" s="40">
        <v>4</v>
      </c>
      <c r="D61" s="40" t="s">
        <v>21</v>
      </c>
      <c r="E61" s="40">
        <v>7</v>
      </c>
      <c r="F61" s="40">
        <v>27</v>
      </c>
      <c r="G61">
        <v>90.288629999999998</v>
      </c>
    </row>
    <row r="62" spans="1:7" x14ac:dyDescent="0.25">
      <c r="A62" s="58">
        <v>1183</v>
      </c>
      <c r="B62" s="58">
        <v>16.77</v>
      </c>
      <c r="C62" s="58">
        <v>4</v>
      </c>
      <c r="D62" s="58" t="s">
        <v>21</v>
      </c>
      <c r="E62" s="58">
        <v>7</v>
      </c>
      <c r="F62" s="58">
        <v>28</v>
      </c>
      <c r="G62">
        <v>107.80177999999999</v>
      </c>
    </row>
    <row r="63" spans="1:7" x14ac:dyDescent="0.25">
      <c r="A63" s="40">
        <v>2562</v>
      </c>
      <c r="B63" s="40">
        <v>15.48</v>
      </c>
      <c r="C63" s="40">
        <v>3</v>
      </c>
      <c r="D63" s="40" t="s">
        <v>21</v>
      </c>
      <c r="E63" s="40">
        <v>7</v>
      </c>
      <c r="F63" s="40">
        <v>2</v>
      </c>
      <c r="G63">
        <v>42.350859999999997</v>
      </c>
    </row>
    <row r="64" spans="1:7" x14ac:dyDescent="0.25">
      <c r="A64" s="40">
        <v>2562</v>
      </c>
      <c r="B64" s="40">
        <v>15.48</v>
      </c>
      <c r="C64" s="40">
        <v>3</v>
      </c>
      <c r="D64" s="40" t="s">
        <v>21</v>
      </c>
      <c r="E64" s="40">
        <v>7</v>
      </c>
      <c r="F64" s="40">
        <v>3</v>
      </c>
      <c r="G64">
        <v>48.497459999999997</v>
      </c>
    </row>
    <row r="65" spans="1:7" x14ac:dyDescent="0.25">
      <c r="A65" s="40">
        <v>2562</v>
      </c>
      <c r="B65" s="40">
        <v>15.48</v>
      </c>
      <c r="C65" s="40">
        <v>3</v>
      </c>
      <c r="D65" s="40" t="s">
        <v>21</v>
      </c>
      <c r="E65" s="40">
        <v>7</v>
      </c>
      <c r="F65" s="40">
        <v>4</v>
      </c>
      <c r="G65">
        <v>44.593490000000003</v>
      </c>
    </row>
    <row r="66" spans="1:7" x14ac:dyDescent="0.25">
      <c r="A66" s="40">
        <v>2562</v>
      </c>
      <c r="B66" s="40">
        <v>15.48</v>
      </c>
      <c r="C66" s="40">
        <v>3</v>
      </c>
      <c r="D66" s="40" t="s">
        <v>21</v>
      </c>
      <c r="E66" s="40">
        <v>7</v>
      </c>
      <c r="F66" s="40">
        <v>5</v>
      </c>
      <c r="G66">
        <v>48.292400000000001</v>
      </c>
    </row>
    <row r="67" spans="1:7" x14ac:dyDescent="0.25">
      <c r="A67" s="40">
        <v>2562</v>
      </c>
      <c r="B67" s="40">
        <v>15.48</v>
      </c>
      <c r="C67" s="40">
        <v>3</v>
      </c>
      <c r="D67" s="40" t="s">
        <v>21</v>
      </c>
      <c r="E67" s="40">
        <v>7</v>
      </c>
      <c r="F67" s="40">
        <v>7</v>
      </c>
      <c r="G67">
        <v>44.989750000000001</v>
      </c>
    </row>
    <row r="68" spans="1:7" x14ac:dyDescent="0.25">
      <c r="A68" s="40">
        <v>2562</v>
      </c>
      <c r="B68" s="40">
        <v>15.48</v>
      </c>
      <c r="C68" s="40">
        <v>3</v>
      </c>
      <c r="D68" s="40" t="s">
        <v>21</v>
      </c>
      <c r="E68" s="40">
        <v>7</v>
      </c>
      <c r="F68" s="40">
        <v>8</v>
      </c>
      <c r="G68">
        <v>42.1828</v>
      </c>
    </row>
    <row r="69" spans="1:7" x14ac:dyDescent="0.25">
      <c r="A69" s="40">
        <v>2562</v>
      </c>
      <c r="B69" s="40">
        <v>15.48</v>
      </c>
      <c r="C69" s="40">
        <v>3</v>
      </c>
      <c r="D69" s="40" t="s">
        <v>21</v>
      </c>
      <c r="E69" s="40">
        <v>7</v>
      </c>
      <c r="F69" s="40">
        <v>9</v>
      </c>
      <c r="G69">
        <v>48.212220000000002</v>
      </c>
    </row>
    <row r="70" spans="1:7" x14ac:dyDescent="0.25">
      <c r="A70" s="40">
        <v>2562</v>
      </c>
      <c r="B70" s="40">
        <v>15.48</v>
      </c>
      <c r="C70" s="40">
        <v>3</v>
      </c>
      <c r="D70" s="40" t="s">
        <v>21</v>
      </c>
      <c r="E70" s="40">
        <v>7</v>
      </c>
      <c r="F70" s="40">
        <v>13</v>
      </c>
      <c r="G70">
        <v>40.169139999999999</v>
      </c>
    </row>
    <row r="71" spans="1:7" x14ac:dyDescent="0.25">
      <c r="A71" s="40">
        <v>2562</v>
      </c>
      <c r="B71" s="40">
        <v>15.48</v>
      </c>
      <c r="C71" s="40">
        <v>3</v>
      </c>
      <c r="D71" s="40" t="s">
        <v>21</v>
      </c>
      <c r="E71" s="40">
        <v>7</v>
      </c>
      <c r="F71" s="40">
        <v>16</v>
      </c>
      <c r="G71">
        <v>42.505049999999997</v>
      </c>
    </row>
    <row r="72" spans="1:7" x14ac:dyDescent="0.25">
      <c r="A72" s="40">
        <v>2562</v>
      </c>
      <c r="B72" s="40">
        <v>15.48</v>
      </c>
      <c r="C72" s="40">
        <v>3</v>
      </c>
      <c r="D72" s="40" t="s">
        <v>21</v>
      </c>
      <c r="E72" s="40">
        <v>7</v>
      </c>
      <c r="F72" s="40">
        <v>17</v>
      </c>
      <c r="G72">
        <v>42.34084</v>
      </c>
    </row>
    <row r="73" spans="1:7" x14ac:dyDescent="0.25">
      <c r="A73" s="40">
        <v>2562</v>
      </c>
      <c r="B73" s="40">
        <v>15.48</v>
      </c>
      <c r="C73" s="40">
        <v>3</v>
      </c>
      <c r="D73" s="40" t="s">
        <v>21</v>
      </c>
      <c r="E73" s="40">
        <v>7</v>
      </c>
      <c r="F73" s="40">
        <v>18</v>
      </c>
      <c r="G73">
        <v>43.588970000000003</v>
      </c>
    </row>
    <row r="74" spans="1:7" x14ac:dyDescent="0.25">
      <c r="A74" s="40">
        <v>2562</v>
      </c>
      <c r="B74" s="40">
        <v>15.48</v>
      </c>
      <c r="C74" s="40">
        <v>3</v>
      </c>
      <c r="D74" s="40" t="s">
        <v>21</v>
      </c>
      <c r="E74" s="40">
        <v>7</v>
      </c>
      <c r="F74" s="40">
        <v>19</v>
      </c>
      <c r="G74">
        <v>43.966729999999998</v>
      </c>
    </row>
    <row r="75" spans="1:7" x14ac:dyDescent="0.25">
      <c r="A75" s="40">
        <v>2562</v>
      </c>
      <c r="B75" s="40">
        <v>15.48</v>
      </c>
      <c r="C75" s="40">
        <v>3</v>
      </c>
      <c r="D75" s="40" t="s">
        <v>21</v>
      </c>
      <c r="E75" s="40">
        <v>7</v>
      </c>
      <c r="F75" s="40">
        <v>20</v>
      </c>
      <c r="G75">
        <v>42.710889999999999</v>
      </c>
    </row>
    <row r="76" spans="1:7" x14ac:dyDescent="0.25">
      <c r="A76" s="40">
        <v>2562</v>
      </c>
      <c r="B76" s="40">
        <v>15.48</v>
      </c>
      <c r="C76" s="40">
        <v>3</v>
      </c>
      <c r="D76" s="40" t="s">
        <v>21</v>
      </c>
      <c r="E76" s="40">
        <v>7</v>
      </c>
      <c r="F76" s="40">
        <v>21</v>
      </c>
      <c r="G76">
        <v>41.711759999999998</v>
      </c>
    </row>
    <row r="77" spans="1:7" x14ac:dyDescent="0.25">
      <c r="A77" s="40">
        <v>2562</v>
      </c>
      <c r="B77" s="40">
        <v>15.48</v>
      </c>
      <c r="C77" s="40">
        <v>3</v>
      </c>
      <c r="D77" s="40" t="s">
        <v>21</v>
      </c>
      <c r="E77" s="40">
        <v>7</v>
      </c>
      <c r="F77" s="40">
        <v>23</v>
      </c>
      <c r="G77">
        <v>48.179839999999999</v>
      </c>
    </row>
    <row r="78" spans="1:7" x14ac:dyDescent="0.25">
      <c r="A78" s="40">
        <v>2562</v>
      </c>
      <c r="B78" s="40">
        <v>15.48</v>
      </c>
      <c r="C78" s="40">
        <v>3</v>
      </c>
      <c r="D78" s="40" t="s">
        <v>21</v>
      </c>
      <c r="E78" s="40">
        <v>7</v>
      </c>
      <c r="F78" s="40">
        <v>24</v>
      </c>
      <c r="G78">
        <v>40.560769999999998</v>
      </c>
    </row>
    <row r="79" spans="1:7" x14ac:dyDescent="0.25">
      <c r="A79" s="40">
        <v>2562</v>
      </c>
      <c r="B79" s="40">
        <v>15.48</v>
      </c>
      <c r="C79" s="40">
        <v>3</v>
      </c>
      <c r="D79" s="40" t="s">
        <v>21</v>
      </c>
      <c r="E79" s="40">
        <v>7</v>
      </c>
      <c r="F79" s="40">
        <v>25</v>
      </c>
      <c r="G79">
        <v>41.62388</v>
      </c>
    </row>
    <row r="80" spans="1:7" x14ac:dyDescent="0.25">
      <c r="A80" s="40">
        <v>2562</v>
      </c>
      <c r="B80" s="40">
        <v>15.48</v>
      </c>
      <c r="C80" s="40">
        <v>3</v>
      </c>
      <c r="D80" s="40" t="s">
        <v>21</v>
      </c>
      <c r="E80" s="40">
        <v>7</v>
      </c>
      <c r="F80" s="40">
        <v>26</v>
      </c>
      <c r="G80">
        <v>47.318719999999999</v>
      </c>
    </row>
    <row r="81" spans="1:7" x14ac:dyDescent="0.25">
      <c r="A81" s="40">
        <v>2562</v>
      </c>
      <c r="B81" s="40">
        <v>15.48</v>
      </c>
      <c r="C81" s="40">
        <v>3</v>
      </c>
      <c r="D81" s="40" t="s">
        <v>21</v>
      </c>
      <c r="E81" s="40">
        <v>7</v>
      </c>
      <c r="F81" s="40">
        <v>30</v>
      </c>
      <c r="G81">
        <v>47.02731</v>
      </c>
    </row>
    <row r="82" spans="1:7" x14ac:dyDescent="0.25">
      <c r="A82" s="40">
        <v>2562</v>
      </c>
      <c r="B82" s="40">
        <v>15.48</v>
      </c>
      <c r="C82" s="40">
        <v>3</v>
      </c>
      <c r="D82" s="40" t="s">
        <v>21</v>
      </c>
      <c r="E82" s="40">
        <v>7</v>
      </c>
      <c r="F82" s="40">
        <v>31</v>
      </c>
      <c r="G82">
        <v>44.364519999999999</v>
      </c>
    </row>
    <row r="83" spans="1:7" x14ac:dyDescent="0.25">
      <c r="A83" s="58">
        <v>2562</v>
      </c>
      <c r="B83" s="58">
        <v>15.48</v>
      </c>
      <c r="C83" s="58">
        <v>3</v>
      </c>
      <c r="D83" s="58" t="s">
        <v>21</v>
      </c>
      <c r="E83" s="58">
        <v>7</v>
      </c>
      <c r="F83" s="58">
        <v>32</v>
      </c>
      <c r="G83">
        <v>46.835340000000002</v>
      </c>
    </row>
    <row r="84" spans="1:7" x14ac:dyDescent="0.25">
      <c r="A84" s="40">
        <v>2927</v>
      </c>
      <c r="B84" s="40">
        <v>17.62</v>
      </c>
      <c r="C84" s="40">
        <v>4</v>
      </c>
      <c r="D84" s="40" t="s">
        <v>21</v>
      </c>
      <c r="E84" s="40">
        <v>7</v>
      </c>
      <c r="F84" s="40">
        <v>2</v>
      </c>
      <c r="G84">
        <v>30.65513</v>
      </c>
    </row>
    <row r="85" spans="1:7" x14ac:dyDescent="0.25">
      <c r="A85" s="40">
        <v>2927</v>
      </c>
      <c r="B85" s="40">
        <v>17.62</v>
      </c>
      <c r="C85" s="40">
        <v>4</v>
      </c>
      <c r="D85" s="40" t="s">
        <v>21</v>
      </c>
      <c r="E85" s="40">
        <v>7</v>
      </c>
      <c r="F85" s="40">
        <v>3</v>
      </c>
      <c r="G85">
        <v>31.84853</v>
      </c>
    </row>
    <row r="86" spans="1:7" x14ac:dyDescent="0.25">
      <c r="A86" s="40">
        <v>2927</v>
      </c>
      <c r="B86" s="40">
        <v>17.62</v>
      </c>
      <c r="C86" s="40">
        <v>4</v>
      </c>
      <c r="D86" s="40" t="s">
        <v>21</v>
      </c>
      <c r="E86" s="40">
        <v>7</v>
      </c>
      <c r="F86" s="40">
        <v>4</v>
      </c>
      <c r="G86">
        <v>30.870989999999999</v>
      </c>
    </row>
    <row r="87" spans="1:7" x14ac:dyDescent="0.25">
      <c r="A87" s="40">
        <v>2927</v>
      </c>
      <c r="B87" s="40">
        <v>17.62</v>
      </c>
      <c r="C87" s="40">
        <v>4</v>
      </c>
      <c r="D87" s="40" t="s">
        <v>21</v>
      </c>
      <c r="E87" s="40">
        <v>7</v>
      </c>
      <c r="F87" s="40">
        <v>5</v>
      </c>
      <c r="G87">
        <v>36.34534</v>
      </c>
    </row>
    <row r="88" spans="1:7" x14ac:dyDescent="0.25">
      <c r="A88" s="40">
        <v>2927</v>
      </c>
      <c r="B88" s="40">
        <v>17.62</v>
      </c>
      <c r="C88" s="40">
        <v>4</v>
      </c>
      <c r="D88" s="40" t="s">
        <v>21</v>
      </c>
      <c r="E88" s="40">
        <v>7</v>
      </c>
      <c r="F88" s="40">
        <v>6</v>
      </c>
      <c r="G88">
        <v>32.208550000000002</v>
      </c>
    </row>
    <row r="89" spans="1:7" x14ac:dyDescent="0.25">
      <c r="A89" s="40">
        <v>2927</v>
      </c>
      <c r="B89" s="40">
        <v>17.62</v>
      </c>
      <c r="C89" s="40">
        <v>4</v>
      </c>
      <c r="D89" s="40" t="s">
        <v>21</v>
      </c>
      <c r="E89" s="40">
        <v>7</v>
      </c>
      <c r="F89" s="40">
        <v>9</v>
      </c>
      <c r="G89">
        <v>36.486420000000003</v>
      </c>
    </row>
    <row r="90" spans="1:7" x14ac:dyDescent="0.25">
      <c r="A90" s="40">
        <v>2927</v>
      </c>
      <c r="B90" s="40">
        <v>17.62</v>
      </c>
      <c r="C90" s="40">
        <v>4</v>
      </c>
      <c r="D90" s="40" t="s">
        <v>21</v>
      </c>
      <c r="E90" s="40">
        <v>7</v>
      </c>
      <c r="F90" s="40">
        <v>10</v>
      </c>
      <c r="G90">
        <v>34.185209999999998</v>
      </c>
    </row>
    <row r="91" spans="1:7" x14ac:dyDescent="0.25">
      <c r="A91" s="40">
        <v>2927</v>
      </c>
      <c r="B91" s="40">
        <v>17.62</v>
      </c>
      <c r="C91" s="40">
        <v>4</v>
      </c>
      <c r="D91" s="40" t="s">
        <v>21</v>
      </c>
      <c r="E91" s="40">
        <v>7</v>
      </c>
      <c r="F91" s="40">
        <v>11</v>
      </c>
      <c r="G91">
        <v>33.701839999999997</v>
      </c>
    </row>
    <row r="92" spans="1:7" x14ac:dyDescent="0.25">
      <c r="A92" s="40">
        <v>2927</v>
      </c>
      <c r="B92" s="40">
        <v>17.62</v>
      </c>
      <c r="C92" s="40">
        <v>4</v>
      </c>
      <c r="D92" s="40" t="s">
        <v>21</v>
      </c>
      <c r="E92" s="40">
        <v>7</v>
      </c>
      <c r="F92" s="40">
        <v>12</v>
      </c>
      <c r="G92">
        <v>37.076949999999997</v>
      </c>
    </row>
    <row r="93" spans="1:7" x14ac:dyDescent="0.25">
      <c r="A93" s="40">
        <v>2927</v>
      </c>
      <c r="B93" s="40">
        <v>17.62</v>
      </c>
      <c r="C93" s="40">
        <v>4</v>
      </c>
      <c r="D93" s="40" t="s">
        <v>21</v>
      </c>
      <c r="E93" s="40">
        <v>7</v>
      </c>
      <c r="F93" s="40">
        <v>13</v>
      </c>
      <c r="G93">
        <v>34.078049999999998</v>
      </c>
    </row>
    <row r="94" spans="1:7" x14ac:dyDescent="0.25">
      <c r="A94" s="40">
        <v>2927</v>
      </c>
      <c r="B94" s="40">
        <v>17.62</v>
      </c>
      <c r="C94" s="40">
        <v>4</v>
      </c>
      <c r="D94" s="40" t="s">
        <v>21</v>
      </c>
      <c r="E94" s="40">
        <v>7</v>
      </c>
      <c r="F94" s="40">
        <v>14</v>
      </c>
      <c r="G94">
        <v>32.348860000000002</v>
      </c>
    </row>
    <row r="95" spans="1:7" x14ac:dyDescent="0.25">
      <c r="A95" s="40">
        <v>2927</v>
      </c>
      <c r="B95" s="40">
        <v>17.62</v>
      </c>
      <c r="C95" s="40">
        <v>4</v>
      </c>
      <c r="D95" s="40" t="s">
        <v>21</v>
      </c>
      <c r="E95" s="40">
        <v>7</v>
      </c>
      <c r="F95" s="40">
        <v>16</v>
      </c>
      <c r="G95">
        <v>39.857689999999998</v>
      </c>
    </row>
    <row r="96" spans="1:7" x14ac:dyDescent="0.25">
      <c r="A96" s="40">
        <v>2927</v>
      </c>
      <c r="B96" s="40">
        <v>17.62</v>
      </c>
      <c r="C96" s="40">
        <v>4</v>
      </c>
      <c r="D96" s="40" t="s">
        <v>21</v>
      </c>
      <c r="E96" s="40">
        <v>7</v>
      </c>
      <c r="F96" s="40">
        <v>19</v>
      </c>
      <c r="G96">
        <v>39.958680000000001</v>
      </c>
    </row>
    <row r="97" spans="1:7" x14ac:dyDescent="0.25">
      <c r="A97" s="40">
        <v>2927</v>
      </c>
      <c r="B97" s="40">
        <v>17.62</v>
      </c>
      <c r="C97" s="40">
        <v>4</v>
      </c>
      <c r="D97" s="40" t="s">
        <v>21</v>
      </c>
      <c r="E97" s="40">
        <v>7</v>
      </c>
      <c r="F97" s="40">
        <v>20</v>
      </c>
      <c r="G97">
        <v>39.142270000000003</v>
      </c>
    </row>
    <row r="98" spans="1:7" x14ac:dyDescent="0.25">
      <c r="A98" s="40">
        <v>2927</v>
      </c>
      <c r="B98" s="40">
        <v>17.62</v>
      </c>
      <c r="C98" s="40">
        <v>4</v>
      </c>
      <c r="D98" s="40" t="s">
        <v>21</v>
      </c>
      <c r="E98" s="40">
        <v>7</v>
      </c>
      <c r="F98" s="40">
        <v>21</v>
      </c>
      <c r="G98">
        <v>38.093809999999998</v>
      </c>
    </row>
    <row r="99" spans="1:7" x14ac:dyDescent="0.25">
      <c r="A99" s="40">
        <v>2927</v>
      </c>
      <c r="B99" s="40">
        <v>17.62</v>
      </c>
      <c r="C99" s="40">
        <v>4</v>
      </c>
      <c r="D99" s="40" t="s">
        <v>21</v>
      </c>
      <c r="E99" s="40">
        <v>7</v>
      </c>
      <c r="F99" s="40">
        <v>22</v>
      </c>
      <c r="G99">
        <v>36.605919999999998</v>
      </c>
    </row>
    <row r="100" spans="1:7" x14ac:dyDescent="0.25">
      <c r="A100" s="40">
        <v>2927</v>
      </c>
      <c r="B100" s="40">
        <v>17.62</v>
      </c>
      <c r="C100" s="40">
        <v>4</v>
      </c>
      <c r="D100" s="40" t="s">
        <v>21</v>
      </c>
      <c r="E100" s="40">
        <v>7</v>
      </c>
      <c r="F100" s="40">
        <v>25</v>
      </c>
      <c r="G100">
        <v>40.368040000000001</v>
      </c>
    </row>
    <row r="101" spans="1:7" x14ac:dyDescent="0.25">
      <c r="A101" s="40">
        <v>2927</v>
      </c>
      <c r="B101" s="40">
        <v>17.62</v>
      </c>
      <c r="C101" s="40">
        <v>4</v>
      </c>
      <c r="D101" s="40" t="s">
        <v>21</v>
      </c>
      <c r="E101" s="40">
        <v>7</v>
      </c>
      <c r="F101" s="40">
        <v>26</v>
      </c>
      <c r="G101">
        <v>41.317819999999998</v>
      </c>
    </row>
    <row r="102" spans="1:7" x14ac:dyDescent="0.25">
      <c r="A102" s="40">
        <v>2927</v>
      </c>
      <c r="B102" s="40">
        <v>17.62</v>
      </c>
      <c r="C102" s="40">
        <v>4</v>
      </c>
      <c r="D102" s="40" t="s">
        <v>21</v>
      </c>
      <c r="E102" s="40">
        <v>7</v>
      </c>
      <c r="F102" s="40">
        <v>28</v>
      </c>
      <c r="G102">
        <v>34.669350000000001</v>
      </c>
    </row>
    <row r="103" spans="1:7" x14ac:dyDescent="0.25">
      <c r="A103" s="58">
        <v>2927</v>
      </c>
      <c r="B103" s="58">
        <v>17.62</v>
      </c>
      <c r="C103" s="58">
        <v>4</v>
      </c>
      <c r="D103" s="58" t="s">
        <v>21</v>
      </c>
      <c r="E103" s="58">
        <v>7</v>
      </c>
      <c r="F103" s="58">
        <v>29</v>
      </c>
      <c r="G103">
        <v>33.81362</v>
      </c>
    </row>
    <row r="104" spans="1:7" x14ac:dyDescent="0.25">
      <c r="A104" s="40">
        <v>3649</v>
      </c>
      <c r="B104" s="40">
        <v>16.309999999999999</v>
      </c>
      <c r="C104" s="40">
        <v>3</v>
      </c>
      <c r="D104" s="40" t="s">
        <v>21</v>
      </c>
      <c r="E104" s="40">
        <v>7</v>
      </c>
      <c r="F104" s="40">
        <v>1</v>
      </c>
      <c r="G104">
        <v>48.727969999999999</v>
      </c>
    </row>
    <row r="105" spans="1:7" x14ac:dyDescent="0.25">
      <c r="A105" s="40">
        <v>3649</v>
      </c>
      <c r="B105" s="40">
        <v>16.309999999999999</v>
      </c>
      <c r="C105" s="40">
        <v>3</v>
      </c>
      <c r="D105" s="40" t="s">
        <v>21</v>
      </c>
      <c r="E105" s="40">
        <v>7</v>
      </c>
      <c r="F105" s="40">
        <v>2</v>
      </c>
      <c r="G105">
        <v>36.218910000000001</v>
      </c>
    </row>
    <row r="106" spans="1:7" x14ac:dyDescent="0.25">
      <c r="A106" s="40">
        <v>3649</v>
      </c>
      <c r="B106" s="40">
        <v>16.309999999999999</v>
      </c>
      <c r="C106" s="40">
        <v>3</v>
      </c>
      <c r="D106" s="40" t="s">
        <v>21</v>
      </c>
      <c r="E106" s="40">
        <v>7</v>
      </c>
      <c r="F106" s="40">
        <v>3</v>
      </c>
      <c r="G106">
        <v>50.023130000000002</v>
      </c>
    </row>
    <row r="107" spans="1:7" x14ac:dyDescent="0.25">
      <c r="A107" s="40">
        <v>3649</v>
      </c>
      <c r="B107" s="40">
        <v>16.309999999999999</v>
      </c>
      <c r="C107" s="40">
        <v>3</v>
      </c>
      <c r="D107" s="40" t="s">
        <v>21</v>
      </c>
      <c r="E107" s="40">
        <v>7</v>
      </c>
      <c r="F107" s="40">
        <v>5</v>
      </c>
      <c r="G107">
        <v>50.643720000000002</v>
      </c>
    </row>
    <row r="108" spans="1:7" x14ac:dyDescent="0.25">
      <c r="A108" s="40">
        <v>3649</v>
      </c>
      <c r="B108" s="40">
        <v>16.309999999999999</v>
      </c>
      <c r="C108" s="40">
        <v>3</v>
      </c>
      <c r="D108" s="40" t="s">
        <v>21</v>
      </c>
      <c r="E108" s="40">
        <v>7</v>
      </c>
      <c r="F108" s="40">
        <v>6</v>
      </c>
      <c r="G108">
        <v>48.421140000000001</v>
      </c>
    </row>
    <row r="109" spans="1:7" x14ac:dyDescent="0.25">
      <c r="A109" s="40">
        <v>3649</v>
      </c>
      <c r="B109" s="40">
        <v>16.309999999999999</v>
      </c>
      <c r="C109" s="40">
        <v>3</v>
      </c>
      <c r="D109" s="40" t="s">
        <v>21</v>
      </c>
      <c r="E109" s="40">
        <v>7</v>
      </c>
      <c r="F109" s="40">
        <v>7</v>
      </c>
      <c r="G109">
        <v>30.33597</v>
      </c>
    </row>
    <row r="110" spans="1:7" x14ac:dyDescent="0.25">
      <c r="A110" s="40">
        <v>3649</v>
      </c>
      <c r="B110" s="40">
        <v>16.309999999999999</v>
      </c>
      <c r="C110" s="40">
        <v>3</v>
      </c>
      <c r="D110" s="40" t="s">
        <v>21</v>
      </c>
      <c r="E110" s="40">
        <v>7</v>
      </c>
      <c r="F110" s="40">
        <v>8</v>
      </c>
      <c r="G110">
        <v>32.087510000000002</v>
      </c>
    </row>
    <row r="111" spans="1:7" x14ac:dyDescent="0.25">
      <c r="A111" s="40">
        <v>3649</v>
      </c>
      <c r="B111" s="40">
        <v>16.309999999999999</v>
      </c>
      <c r="C111" s="40">
        <v>3</v>
      </c>
      <c r="D111" s="40" t="s">
        <v>21</v>
      </c>
      <c r="E111" s="40">
        <v>7</v>
      </c>
      <c r="F111" s="40">
        <v>9</v>
      </c>
      <c r="G111">
        <v>58.901119999999999</v>
      </c>
    </row>
    <row r="112" spans="1:7" x14ac:dyDescent="0.25">
      <c r="A112" s="40">
        <v>3649</v>
      </c>
      <c r="B112" s="40">
        <v>16.309999999999999</v>
      </c>
      <c r="C112" s="40">
        <v>3</v>
      </c>
      <c r="D112" s="40" t="s">
        <v>21</v>
      </c>
      <c r="E112" s="40">
        <v>7</v>
      </c>
      <c r="F112" s="40">
        <v>10</v>
      </c>
      <c r="G112">
        <v>64.541989999999998</v>
      </c>
    </row>
    <row r="113" spans="1:7" x14ac:dyDescent="0.25">
      <c r="A113" s="40">
        <v>3649</v>
      </c>
      <c r="B113" s="40">
        <v>16.309999999999999</v>
      </c>
      <c r="C113" s="40">
        <v>3</v>
      </c>
      <c r="D113" s="40" t="s">
        <v>21</v>
      </c>
      <c r="E113" s="40">
        <v>7</v>
      </c>
      <c r="F113" s="40">
        <v>11</v>
      </c>
      <c r="G113">
        <v>54.332610000000003</v>
      </c>
    </row>
    <row r="114" spans="1:7" x14ac:dyDescent="0.25">
      <c r="A114" s="40">
        <v>3649</v>
      </c>
      <c r="B114" s="40">
        <v>16.309999999999999</v>
      </c>
      <c r="C114" s="40">
        <v>3</v>
      </c>
      <c r="D114" s="40" t="s">
        <v>21</v>
      </c>
      <c r="E114" s="40">
        <v>7</v>
      </c>
      <c r="F114" s="40">
        <v>13</v>
      </c>
      <c r="G114">
        <v>65.588909999999998</v>
      </c>
    </row>
    <row r="115" spans="1:7" x14ac:dyDescent="0.25">
      <c r="A115" s="40">
        <v>3649</v>
      </c>
      <c r="B115" s="40">
        <v>16.309999999999999</v>
      </c>
      <c r="C115" s="40">
        <v>3</v>
      </c>
      <c r="D115" s="40" t="s">
        <v>21</v>
      </c>
      <c r="E115" s="40">
        <v>7</v>
      </c>
      <c r="F115" s="40">
        <v>14</v>
      </c>
      <c r="G115">
        <v>58.833280000000002</v>
      </c>
    </row>
    <row r="116" spans="1:7" x14ac:dyDescent="0.25">
      <c r="A116" s="40">
        <v>3649</v>
      </c>
      <c r="B116" s="40">
        <v>16.309999999999999</v>
      </c>
      <c r="C116" s="40">
        <v>3</v>
      </c>
      <c r="D116" s="40" t="s">
        <v>21</v>
      </c>
      <c r="E116" s="40">
        <v>7</v>
      </c>
      <c r="F116" s="40">
        <v>18</v>
      </c>
      <c r="G116">
        <v>47.20693</v>
      </c>
    </row>
    <row r="117" spans="1:7" x14ac:dyDescent="0.25">
      <c r="A117" s="40">
        <v>3649</v>
      </c>
      <c r="B117" s="40">
        <v>16.309999999999999</v>
      </c>
      <c r="C117" s="40">
        <v>3</v>
      </c>
      <c r="D117" s="40" t="s">
        <v>21</v>
      </c>
      <c r="E117" s="40">
        <v>7</v>
      </c>
      <c r="F117" s="40">
        <v>21</v>
      </c>
      <c r="G117">
        <v>36.867260000000002</v>
      </c>
    </row>
    <row r="118" spans="1:7" x14ac:dyDescent="0.25">
      <c r="A118" s="40">
        <v>3649</v>
      </c>
      <c r="B118" s="40">
        <v>16.309999999999999</v>
      </c>
      <c r="C118" s="40">
        <v>3</v>
      </c>
      <c r="D118" s="40" t="s">
        <v>21</v>
      </c>
      <c r="E118" s="40">
        <v>7</v>
      </c>
      <c r="F118" s="40">
        <v>23</v>
      </c>
      <c r="G118">
        <v>43.195799999999998</v>
      </c>
    </row>
    <row r="119" spans="1:7" x14ac:dyDescent="0.25">
      <c r="A119" s="40">
        <v>3649</v>
      </c>
      <c r="B119" s="40">
        <v>16.309999999999999</v>
      </c>
      <c r="C119" s="40">
        <v>3</v>
      </c>
      <c r="D119" s="40" t="s">
        <v>21</v>
      </c>
      <c r="E119" s="40">
        <v>7</v>
      </c>
      <c r="F119" s="40">
        <v>24</v>
      </c>
      <c r="G119">
        <v>36.013069999999999</v>
      </c>
    </row>
    <row r="120" spans="1:7" x14ac:dyDescent="0.25">
      <c r="A120" s="40">
        <v>3649</v>
      </c>
      <c r="B120" s="40">
        <v>16.309999999999999</v>
      </c>
      <c r="C120" s="40">
        <v>3</v>
      </c>
      <c r="D120" s="40" t="s">
        <v>21</v>
      </c>
      <c r="E120" s="40">
        <v>7</v>
      </c>
      <c r="F120" s="40">
        <v>25</v>
      </c>
      <c r="G120">
        <v>55.164439999999999</v>
      </c>
    </row>
    <row r="121" spans="1:7" x14ac:dyDescent="0.25">
      <c r="A121" s="40">
        <v>3649</v>
      </c>
      <c r="B121" s="40">
        <v>16.309999999999999</v>
      </c>
      <c r="C121" s="40">
        <v>3</v>
      </c>
      <c r="D121" s="40" t="s">
        <v>21</v>
      </c>
      <c r="E121" s="40">
        <v>7</v>
      </c>
      <c r="F121" s="40">
        <v>26</v>
      </c>
      <c r="G121">
        <v>48.847459999999998</v>
      </c>
    </row>
    <row r="122" spans="1:7" x14ac:dyDescent="0.25">
      <c r="A122" s="40">
        <v>3649</v>
      </c>
      <c r="B122" s="40">
        <v>16.309999999999999</v>
      </c>
      <c r="C122" s="40">
        <v>3</v>
      </c>
      <c r="D122" s="40" t="s">
        <v>21</v>
      </c>
      <c r="E122" s="40">
        <v>7</v>
      </c>
      <c r="F122" s="40">
        <v>27</v>
      </c>
      <c r="G122">
        <v>37.31671</v>
      </c>
    </row>
    <row r="123" spans="1:7" x14ac:dyDescent="0.25">
      <c r="A123" s="58">
        <v>3649</v>
      </c>
      <c r="B123" s="58">
        <v>16.309999999999999</v>
      </c>
      <c r="C123" s="58">
        <v>3</v>
      </c>
      <c r="D123" s="58" t="s">
        <v>21</v>
      </c>
      <c r="E123" s="58">
        <v>7</v>
      </c>
      <c r="F123" s="58">
        <v>28</v>
      </c>
      <c r="G123">
        <v>40.60163</v>
      </c>
    </row>
    <row r="124" spans="1:7" x14ac:dyDescent="0.25">
      <c r="A124" s="40">
        <v>3894</v>
      </c>
      <c r="B124" s="40">
        <v>16.14</v>
      </c>
      <c r="C124" s="40">
        <v>3</v>
      </c>
      <c r="D124" s="40" t="s">
        <v>21</v>
      </c>
      <c r="E124" s="40">
        <v>7</v>
      </c>
      <c r="F124" s="40">
        <v>1</v>
      </c>
      <c r="G124">
        <v>31.516259999999999</v>
      </c>
    </row>
    <row r="125" spans="1:7" x14ac:dyDescent="0.25">
      <c r="A125" s="40">
        <v>3894</v>
      </c>
      <c r="B125" s="40">
        <v>16.14</v>
      </c>
      <c r="C125" s="40">
        <v>3</v>
      </c>
      <c r="D125" s="40" t="s">
        <v>21</v>
      </c>
      <c r="E125" s="40">
        <v>7</v>
      </c>
      <c r="F125" s="40">
        <v>2</v>
      </c>
      <c r="G125">
        <v>32.267910000000001</v>
      </c>
    </row>
    <row r="126" spans="1:7" x14ac:dyDescent="0.25">
      <c r="A126" s="40">
        <v>3894</v>
      </c>
      <c r="B126" s="40">
        <v>16.14</v>
      </c>
      <c r="C126" s="40">
        <v>3</v>
      </c>
      <c r="D126" s="40" t="s">
        <v>21</v>
      </c>
      <c r="E126" s="40">
        <v>7</v>
      </c>
      <c r="F126" s="40">
        <v>3</v>
      </c>
      <c r="G126">
        <v>36.58896</v>
      </c>
    </row>
    <row r="127" spans="1:7" x14ac:dyDescent="0.25">
      <c r="A127" s="40">
        <v>3894</v>
      </c>
      <c r="B127" s="40">
        <v>16.14</v>
      </c>
      <c r="C127" s="40">
        <v>3</v>
      </c>
      <c r="D127" s="40" t="s">
        <v>21</v>
      </c>
      <c r="E127" s="40">
        <v>7</v>
      </c>
      <c r="F127" s="40">
        <v>4</v>
      </c>
      <c r="G127">
        <v>40.337200000000003</v>
      </c>
    </row>
    <row r="128" spans="1:7" x14ac:dyDescent="0.25">
      <c r="A128" s="40">
        <v>3894</v>
      </c>
      <c r="B128" s="40">
        <v>16.14</v>
      </c>
      <c r="C128" s="40">
        <v>3</v>
      </c>
      <c r="D128" s="40" t="s">
        <v>21</v>
      </c>
      <c r="E128" s="40">
        <v>7</v>
      </c>
      <c r="F128" s="40">
        <v>5</v>
      </c>
      <c r="G128">
        <v>36.681469999999997</v>
      </c>
    </row>
    <row r="129" spans="1:7" x14ac:dyDescent="0.25">
      <c r="A129" s="40">
        <v>3894</v>
      </c>
      <c r="B129" s="40">
        <v>16.14</v>
      </c>
      <c r="C129" s="40">
        <v>3</v>
      </c>
      <c r="D129" s="40" t="s">
        <v>21</v>
      </c>
      <c r="E129" s="40">
        <v>7</v>
      </c>
      <c r="F129" s="40">
        <v>7</v>
      </c>
      <c r="G129">
        <v>33.472099999999998</v>
      </c>
    </row>
    <row r="130" spans="1:7" x14ac:dyDescent="0.25">
      <c r="A130" s="40">
        <v>3894</v>
      </c>
      <c r="B130" s="40">
        <v>16.14</v>
      </c>
      <c r="C130" s="40">
        <v>3</v>
      </c>
      <c r="D130" s="40" t="s">
        <v>21</v>
      </c>
      <c r="E130" s="40">
        <v>7</v>
      </c>
      <c r="F130" s="40">
        <v>8</v>
      </c>
      <c r="G130">
        <v>44.076970000000003</v>
      </c>
    </row>
    <row r="131" spans="1:7" x14ac:dyDescent="0.25">
      <c r="A131" s="40">
        <v>3894</v>
      </c>
      <c r="B131" s="40">
        <v>16.14</v>
      </c>
      <c r="C131" s="40">
        <v>3</v>
      </c>
      <c r="D131" s="40" t="s">
        <v>21</v>
      </c>
      <c r="E131" s="40">
        <v>7</v>
      </c>
      <c r="F131" s="40">
        <v>10</v>
      </c>
      <c r="G131">
        <v>36.77552</v>
      </c>
    </row>
    <row r="132" spans="1:7" x14ac:dyDescent="0.25">
      <c r="A132" s="40">
        <v>3894</v>
      </c>
      <c r="B132" s="40">
        <v>16.14</v>
      </c>
      <c r="C132" s="40">
        <v>3</v>
      </c>
      <c r="D132" s="40" t="s">
        <v>21</v>
      </c>
      <c r="E132" s="40">
        <v>7</v>
      </c>
      <c r="F132" s="40">
        <v>11</v>
      </c>
      <c r="G132">
        <v>28.965260000000001</v>
      </c>
    </row>
    <row r="133" spans="1:7" x14ac:dyDescent="0.25">
      <c r="A133" s="40">
        <v>3894</v>
      </c>
      <c r="B133" s="40">
        <v>16.14</v>
      </c>
      <c r="C133" s="40">
        <v>3</v>
      </c>
      <c r="D133" s="40" t="s">
        <v>21</v>
      </c>
      <c r="E133" s="40">
        <v>7</v>
      </c>
      <c r="F133" s="40">
        <v>12</v>
      </c>
      <c r="G133">
        <v>27.898299999999999</v>
      </c>
    </row>
    <row r="134" spans="1:7" x14ac:dyDescent="0.25">
      <c r="A134" s="40">
        <v>3894</v>
      </c>
      <c r="B134" s="40">
        <v>16.14</v>
      </c>
      <c r="C134" s="40">
        <v>3</v>
      </c>
      <c r="D134" s="40" t="s">
        <v>21</v>
      </c>
      <c r="E134" s="40">
        <v>7</v>
      </c>
      <c r="F134" s="40">
        <v>13</v>
      </c>
      <c r="G134">
        <v>34.982340000000001</v>
      </c>
    </row>
    <row r="135" spans="1:7" x14ac:dyDescent="0.25">
      <c r="A135" s="40">
        <v>3894</v>
      </c>
      <c r="B135" s="40">
        <v>16.14</v>
      </c>
      <c r="C135" s="40">
        <v>3</v>
      </c>
      <c r="D135" s="40" t="s">
        <v>21</v>
      </c>
      <c r="E135" s="40">
        <v>7</v>
      </c>
      <c r="F135" s="40">
        <v>14</v>
      </c>
      <c r="G135">
        <v>40.812089999999998</v>
      </c>
    </row>
    <row r="136" spans="1:7" x14ac:dyDescent="0.25">
      <c r="A136" s="40">
        <v>3894</v>
      </c>
      <c r="B136" s="40">
        <v>16.14</v>
      </c>
      <c r="C136" s="40">
        <v>3</v>
      </c>
      <c r="D136" s="40" t="s">
        <v>21</v>
      </c>
      <c r="E136" s="40">
        <v>7</v>
      </c>
      <c r="F136" s="40">
        <v>16</v>
      </c>
      <c r="G136">
        <v>43.019260000000003</v>
      </c>
    </row>
    <row r="137" spans="1:7" x14ac:dyDescent="0.25">
      <c r="A137" s="40">
        <v>3894</v>
      </c>
      <c r="B137" s="40">
        <v>16.14</v>
      </c>
      <c r="C137" s="40">
        <v>3</v>
      </c>
      <c r="D137" s="40" t="s">
        <v>21</v>
      </c>
      <c r="E137" s="40">
        <v>7</v>
      </c>
      <c r="F137" s="40">
        <v>18</v>
      </c>
      <c r="G137">
        <v>36.178049999999999</v>
      </c>
    </row>
    <row r="138" spans="1:7" x14ac:dyDescent="0.25">
      <c r="A138" s="40">
        <v>3894</v>
      </c>
      <c r="B138" s="40">
        <v>16.14</v>
      </c>
      <c r="C138" s="40">
        <v>3</v>
      </c>
      <c r="D138" s="40" t="s">
        <v>21</v>
      </c>
      <c r="E138" s="40">
        <v>7</v>
      </c>
      <c r="F138" s="40">
        <v>19</v>
      </c>
      <c r="G138">
        <v>28.322310000000002</v>
      </c>
    </row>
    <row r="139" spans="1:7" x14ac:dyDescent="0.25">
      <c r="A139" s="40">
        <v>3894</v>
      </c>
      <c r="B139" s="40">
        <v>16.14</v>
      </c>
      <c r="C139" s="40">
        <v>3</v>
      </c>
      <c r="D139" s="40" t="s">
        <v>21</v>
      </c>
      <c r="E139" s="40">
        <v>7</v>
      </c>
      <c r="F139" s="40">
        <v>20</v>
      </c>
      <c r="G139">
        <v>33.583880000000001</v>
      </c>
    </row>
    <row r="140" spans="1:7" x14ac:dyDescent="0.25">
      <c r="A140" s="40">
        <v>3894</v>
      </c>
      <c r="B140" s="40">
        <v>16.14</v>
      </c>
      <c r="C140" s="40">
        <v>3</v>
      </c>
      <c r="D140" s="40" t="s">
        <v>21</v>
      </c>
      <c r="E140" s="40">
        <v>7</v>
      </c>
      <c r="F140" s="40">
        <v>21</v>
      </c>
      <c r="G140">
        <v>27.866689999999998</v>
      </c>
    </row>
    <row r="141" spans="1:7" x14ac:dyDescent="0.25">
      <c r="A141" s="40">
        <v>3894</v>
      </c>
      <c r="B141" s="40">
        <v>16.14</v>
      </c>
      <c r="C141" s="40">
        <v>3</v>
      </c>
      <c r="D141" s="40" t="s">
        <v>21</v>
      </c>
      <c r="E141" s="40">
        <v>7</v>
      </c>
      <c r="F141" s="40">
        <v>22</v>
      </c>
      <c r="G141">
        <v>37.226509999999998</v>
      </c>
    </row>
    <row r="142" spans="1:7" x14ac:dyDescent="0.25">
      <c r="A142" s="40">
        <v>3894</v>
      </c>
      <c r="B142" s="40">
        <v>16.14</v>
      </c>
      <c r="C142" s="40">
        <v>3</v>
      </c>
      <c r="D142" s="40" t="s">
        <v>21</v>
      </c>
      <c r="E142" s="40">
        <v>7</v>
      </c>
      <c r="F142" s="40">
        <v>26</v>
      </c>
      <c r="G142">
        <v>36.925080000000001</v>
      </c>
    </row>
    <row r="143" spans="1:7" x14ac:dyDescent="0.25">
      <c r="A143" s="40">
        <v>3894</v>
      </c>
      <c r="B143" s="40">
        <v>16.14</v>
      </c>
      <c r="C143" s="40">
        <v>3</v>
      </c>
      <c r="D143" s="40" t="s">
        <v>21</v>
      </c>
      <c r="E143" s="40">
        <v>7</v>
      </c>
      <c r="F143" s="40">
        <v>27</v>
      </c>
      <c r="G143">
        <v>29.293679999999998</v>
      </c>
    </row>
    <row r="144" spans="1:7" x14ac:dyDescent="0.25">
      <c r="A144" s="40">
        <v>3894</v>
      </c>
      <c r="B144" s="40">
        <v>16.14</v>
      </c>
      <c r="C144" s="40">
        <v>3</v>
      </c>
      <c r="D144" s="40" t="s">
        <v>21</v>
      </c>
      <c r="E144" s="40">
        <v>7</v>
      </c>
      <c r="F144" s="40">
        <v>28</v>
      </c>
      <c r="G144">
        <v>28.315370000000001</v>
      </c>
    </row>
    <row r="145" spans="1:7" x14ac:dyDescent="0.25">
      <c r="A145" s="58">
        <v>3894</v>
      </c>
      <c r="B145" s="58">
        <v>16.14</v>
      </c>
      <c r="C145" s="58">
        <v>3</v>
      </c>
      <c r="D145" s="58" t="s">
        <v>21</v>
      </c>
      <c r="E145" s="58">
        <v>7</v>
      </c>
      <c r="F145" s="58">
        <v>30</v>
      </c>
      <c r="G145">
        <v>41.781149999999997</v>
      </c>
    </row>
    <row r="146" spans="1:7" x14ac:dyDescent="0.25">
      <c r="A146" s="40">
        <v>3896</v>
      </c>
      <c r="B146" s="40">
        <v>16.239999999999998</v>
      </c>
      <c r="C146" s="40">
        <v>4</v>
      </c>
      <c r="D146" s="40" t="s">
        <v>21</v>
      </c>
      <c r="E146" s="40">
        <v>7</v>
      </c>
      <c r="F146" s="40">
        <v>1</v>
      </c>
      <c r="G146">
        <v>29.43553</v>
      </c>
    </row>
    <row r="147" spans="1:7" x14ac:dyDescent="0.25">
      <c r="A147" s="40">
        <v>3896</v>
      </c>
      <c r="B147" s="40">
        <v>16.239999999999998</v>
      </c>
      <c r="C147" s="40">
        <v>4</v>
      </c>
      <c r="D147" s="40" t="s">
        <v>21</v>
      </c>
      <c r="E147" s="40">
        <v>7</v>
      </c>
      <c r="F147" s="40">
        <v>2</v>
      </c>
      <c r="G147">
        <v>29.555789999999998</v>
      </c>
    </row>
    <row r="148" spans="1:7" x14ac:dyDescent="0.25">
      <c r="A148" s="40">
        <v>3896</v>
      </c>
      <c r="B148" s="40">
        <v>16.239999999999998</v>
      </c>
      <c r="C148" s="40">
        <v>4</v>
      </c>
      <c r="D148" s="40" t="s">
        <v>21</v>
      </c>
      <c r="E148" s="40">
        <v>7</v>
      </c>
      <c r="F148" s="40">
        <v>3</v>
      </c>
      <c r="G148">
        <v>29.10557</v>
      </c>
    </row>
    <row r="149" spans="1:7" x14ac:dyDescent="0.25">
      <c r="A149" s="40">
        <v>3896</v>
      </c>
      <c r="B149" s="40">
        <v>16.239999999999998</v>
      </c>
      <c r="C149" s="40">
        <v>4</v>
      </c>
      <c r="D149" s="40" t="s">
        <v>21</v>
      </c>
      <c r="E149" s="40">
        <v>7</v>
      </c>
      <c r="F149" s="40">
        <v>5</v>
      </c>
      <c r="G149">
        <v>29.10172</v>
      </c>
    </row>
    <row r="150" spans="1:7" x14ac:dyDescent="0.25">
      <c r="A150" s="40">
        <v>3896</v>
      </c>
      <c r="B150" s="40">
        <v>16.239999999999998</v>
      </c>
      <c r="C150" s="40">
        <v>4</v>
      </c>
      <c r="D150" s="40" t="s">
        <v>21</v>
      </c>
      <c r="E150" s="40">
        <v>7</v>
      </c>
      <c r="F150" s="40">
        <v>7</v>
      </c>
      <c r="G150">
        <v>31.950289999999999</v>
      </c>
    </row>
    <row r="151" spans="1:7" x14ac:dyDescent="0.25">
      <c r="A151" s="40">
        <v>3896</v>
      </c>
      <c r="B151" s="40">
        <v>16.239999999999998</v>
      </c>
      <c r="C151" s="40">
        <v>4</v>
      </c>
      <c r="D151" s="40" t="s">
        <v>21</v>
      </c>
      <c r="E151" s="40">
        <v>7</v>
      </c>
      <c r="F151" s="40">
        <v>8</v>
      </c>
      <c r="G151">
        <v>37.192590000000003</v>
      </c>
    </row>
    <row r="152" spans="1:7" x14ac:dyDescent="0.25">
      <c r="A152" s="40">
        <v>3896</v>
      </c>
      <c r="B152" s="40">
        <v>16.239999999999998</v>
      </c>
      <c r="C152" s="40">
        <v>4</v>
      </c>
      <c r="D152" s="40" t="s">
        <v>21</v>
      </c>
      <c r="E152" s="40">
        <v>7</v>
      </c>
      <c r="F152" s="40">
        <v>11</v>
      </c>
      <c r="G152">
        <v>36.504150000000003</v>
      </c>
    </row>
    <row r="153" spans="1:7" x14ac:dyDescent="0.25">
      <c r="A153" s="40">
        <v>3896</v>
      </c>
      <c r="B153" s="40">
        <v>16.239999999999998</v>
      </c>
      <c r="C153" s="40">
        <v>4</v>
      </c>
      <c r="D153" s="40" t="s">
        <v>21</v>
      </c>
      <c r="E153" s="40">
        <v>7</v>
      </c>
      <c r="F153" s="40">
        <v>12</v>
      </c>
      <c r="G153">
        <v>35.73554</v>
      </c>
    </row>
    <row r="154" spans="1:7" x14ac:dyDescent="0.25">
      <c r="A154" s="40">
        <v>3896</v>
      </c>
      <c r="B154" s="40">
        <v>16.239999999999998</v>
      </c>
      <c r="C154" s="40">
        <v>4</v>
      </c>
      <c r="D154" s="40" t="s">
        <v>21</v>
      </c>
      <c r="E154" s="40">
        <v>7</v>
      </c>
      <c r="F154" s="40">
        <v>13</v>
      </c>
      <c r="G154">
        <v>35.321550000000002</v>
      </c>
    </row>
    <row r="155" spans="1:7" x14ac:dyDescent="0.25">
      <c r="A155" s="40">
        <v>3896</v>
      </c>
      <c r="B155" s="40">
        <v>16.239999999999998</v>
      </c>
      <c r="C155" s="40">
        <v>4</v>
      </c>
      <c r="D155" s="40" t="s">
        <v>21</v>
      </c>
      <c r="E155" s="40">
        <v>7</v>
      </c>
      <c r="F155" s="40">
        <v>14</v>
      </c>
      <c r="G155">
        <v>35.333889999999997</v>
      </c>
    </row>
    <row r="156" spans="1:7" x14ac:dyDescent="0.25">
      <c r="A156" s="40">
        <v>3896</v>
      </c>
      <c r="B156" s="40">
        <v>16.239999999999998</v>
      </c>
      <c r="C156" s="40">
        <v>4</v>
      </c>
      <c r="D156" s="40" t="s">
        <v>21</v>
      </c>
      <c r="E156" s="40">
        <v>7</v>
      </c>
      <c r="F156" s="40">
        <v>15</v>
      </c>
      <c r="G156">
        <v>30.282</v>
      </c>
    </row>
    <row r="157" spans="1:7" x14ac:dyDescent="0.25">
      <c r="A157" s="40">
        <v>3896</v>
      </c>
      <c r="B157" s="40">
        <v>16.239999999999998</v>
      </c>
      <c r="C157" s="40">
        <v>4</v>
      </c>
      <c r="D157" s="40" t="s">
        <v>21</v>
      </c>
      <c r="E157" s="40">
        <v>7</v>
      </c>
      <c r="F157" s="40">
        <v>16</v>
      </c>
      <c r="G157">
        <v>28.394780000000001</v>
      </c>
    </row>
    <row r="158" spans="1:7" x14ac:dyDescent="0.25">
      <c r="A158" s="40">
        <v>3896</v>
      </c>
      <c r="B158" s="40">
        <v>16.239999999999998</v>
      </c>
      <c r="C158" s="40">
        <v>4</v>
      </c>
      <c r="D158" s="40" t="s">
        <v>21</v>
      </c>
      <c r="E158" s="40">
        <v>7</v>
      </c>
      <c r="F158" s="40">
        <v>17</v>
      </c>
      <c r="G158">
        <v>34.672429999999999</v>
      </c>
    </row>
    <row r="159" spans="1:7" x14ac:dyDescent="0.25">
      <c r="A159" s="40">
        <v>3896</v>
      </c>
      <c r="B159" s="40">
        <v>16.239999999999998</v>
      </c>
      <c r="C159" s="40">
        <v>4</v>
      </c>
      <c r="D159" s="40" t="s">
        <v>21</v>
      </c>
      <c r="E159" s="40">
        <v>7</v>
      </c>
      <c r="F159" s="40">
        <v>18</v>
      </c>
      <c r="G159">
        <v>38.41451</v>
      </c>
    </row>
    <row r="160" spans="1:7" x14ac:dyDescent="0.25">
      <c r="A160" s="40">
        <v>3896</v>
      </c>
      <c r="B160" s="40">
        <v>16.239999999999998</v>
      </c>
      <c r="C160" s="40">
        <v>4</v>
      </c>
      <c r="D160" s="40" t="s">
        <v>21</v>
      </c>
      <c r="E160" s="40">
        <v>7</v>
      </c>
      <c r="F160" s="40">
        <v>21</v>
      </c>
      <c r="G160">
        <v>38.388300000000001</v>
      </c>
    </row>
    <row r="161" spans="1:7" x14ac:dyDescent="0.25">
      <c r="A161" s="40">
        <v>3896</v>
      </c>
      <c r="B161" s="40">
        <v>16.239999999999998</v>
      </c>
      <c r="C161" s="40">
        <v>4</v>
      </c>
      <c r="D161" s="40" t="s">
        <v>21</v>
      </c>
      <c r="E161" s="40">
        <v>7</v>
      </c>
      <c r="F161" s="40">
        <v>23</v>
      </c>
      <c r="G161">
        <v>30.100840000000002</v>
      </c>
    </row>
    <row r="162" spans="1:7" x14ac:dyDescent="0.25">
      <c r="A162" s="40">
        <v>3896</v>
      </c>
      <c r="B162" s="40">
        <v>16.239999999999998</v>
      </c>
      <c r="C162" s="40">
        <v>4</v>
      </c>
      <c r="D162" s="40" t="s">
        <v>21</v>
      </c>
      <c r="E162" s="40">
        <v>7</v>
      </c>
      <c r="F162" s="40">
        <v>24</v>
      </c>
      <c r="G162">
        <v>35.152720000000002</v>
      </c>
    </row>
    <row r="163" spans="1:7" x14ac:dyDescent="0.25">
      <c r="A163" s="40">
        <v>3896</v>
      </c>
      <c r="B163" s="40">
        <v>16.239999999999998</v>
      </c>
      <c r="C163" s="40">
        <v>4</v>
      </c>
      <c r="D163" s="40" t="s">
        <v>21</v>
      </c>
      <c r="E163" s="40">
        <v>7</v>
      </c>
      <c r="F163" s="40">
        <v>26</v>
      </c>
      <c r="G163">
        <v>33.677169999999997</v>
      </c>
    </row>
    <row r="164" spans="1:7" x14ac:dyDescent="0.25">
      <c r="A164" s="40">
        <v>3896</v>
      </c>
      <c r="B164" s="40">
        <v>16.239999999999998</v>
      </c>
      <c r="C164" s="40">
        <v>4</v>
      </c>
      <c r="D164" s="40" t="s">
        <v>21</v>
      </c>
      <c r="E164" s="40">
        <v>7</v>
      </c>
      <c r="F164" s="40">
        <v>27</v>
      </c>
      <c r="G164">
        <v>33.292470000000002</v>
      </c>
    </row>
    <row r="165" spans="1:7" x14ac:dyDescent="0.25">
      <c r="A165" s="40">
        <v>3896</v>
      </c>
      <c r="B165" s="40">
        <v>16.239999999999998</v>
      </c>
      <c r="C165" s="40">
        <v>4</v>
      </c>
      <c r="D165" s="40" t="s">
        <v>21</v>
      </c>
      <c r="E165" s="40">
        <v>7</v>
      </c>
      <c r="F165" s="40">
        <v>28</v>
      </c>
      <c r="G165">
        <v>36.215060000000001</v>
      </c>
    </row>
    <row r="166" spans="1:7" x14ac:dyDescent="0.25">
      <c r="A166" s="40">
        <v>3896</v>
      </c>
      <c r="B166" s="40">
        <v>16.239999999999998</v>
      </c>
      <c r="C166" s="40">
        <v>4</v>
      </c>
      <c r="D166" s="40" t="s">
        <v>21</v>
      </c>
      <c r="E166" s="40">
        <v>7</v>
      </c>
      <c r="F166" s="40">
        <v>29</v>
      </c>
      <c r="G166">
        <v>39.464509999999997</v>
      </c>
    </row>
    <row r="167" spans="1:7" x14ac:dyDescent="0.25">
      <c r="A167" s="58">
        <v>3896</v>
      </c>
      <c r="B167" s="58">
        <v>16.239999999999998</v>
      </c>
      <c r="C167" s="58">
        <v>4</v>
      </c>
      <c r="D167" s="58" t="s">
        <v>21</v>
      </c>
      <c r="E167" s="58">
        <v>7</v>
      </c>
      <c r="F167" s="58">
        <v>30</v>
      </c>
      <c r="G167">
        <v>32.822980000000001</v>
      </c>
    </row>
    <row r="168" spans="1:7" x14ac:dyDescent="0.25">
      <c r="A168" s="40">
        <v>6505</v>
      </c>
      <c r="B168" s="40">
        <v>16.21</v>
      </c>
      <c r="C168" s="40">
        <v>4</v>
      </c>
      <c r="D168" s="40" t="s">
        <v>21</v>
      </c>
      <c r="E168" s="40">
        <v>7</v>
      </c>
      <c r="F168" s="40">
        <v>1</v>
      </c>
      <c r="G168">
        <v>86.064729999999997</v>
      </c>
    </row>
    <row r="169" spans="1:7" x14ac:dyDescent="0.25">
      <c r="A169" s="40">
        <v>6505</v>
      </c>
      <c r="B169" s="40">
        <v>16.21</v>
      </c>
      <c r="C169" s="40">
        <v>4</v>
      </c>
      <c r="D169" s="40" t="s">
        <v>21</v>
      </c>
      <c r="E169" s="40">
        <v>7</v>
      </c>
      <c r="F169" s="40">
        <v>2</v>
      </c>
      <c r="G169">
        <v>87.226510000000005</v>
      </c>
    </row>
    <row r="170" spans="1:7" x14ac:dyDescent="0.25">
      <c r="A170" s="40">
        <v>6505</v>
      </c>
      <c r="B170" s="40">
        <v>16.21</v>
      </c>
      <c r="C170" s="40">
        <v>4</v>
      </c>
      <c r="D170" s="40" t="s">
        <v>21</v>
      </c>
      <c r="E170" s="40">
        <v>7</v>
      </c>
      <c r="F170" s="40">
        <v>3</v>
      </c>
      <c r="G170">
        <v>69.869100000000003</v>
      </c>
    </row>
    <row r="171" spans="1:7" x14ac:dyDescent="0.25">
      <c r="A171" s="40">
        <v>6505</v>
      </c>
      <c r="B171" s="40">
        <v>16.21</v>
      </c>
      <c r="C171" s="40">
        <v>4</v>
      </c>
      <c r="D171" s="40" t="s">
        <v>21</v>
      </c>
      <c r="E171" s="40">
        <v>7</v>
      </c>
      <c r="F171" s="40">
        <v>7</v>
      </c>
      <c r="G171">
        <v>81.168570000000003</v>
      </c>
    </row>
    <row r="172" spans="1:7" x14ac:dyDescent="0.25">
      <c r="A172" s="40">
        <v>6505</v>
      </c>
      <c r="B172" s="40">
        <v>16.21</v>
      </c>
      <c r="C172" s="40">
        <v>4</v>
      </c>
      <c r="D172" s="40" t="s">
        <v>21</v>
      </c>
      <c r="E172" s="40">
        <v>7</v>
      </c>
      <c r="F172" s="40">
        <v>8</v>
      </c>
      <c r="G172">
        <v>63.883620000000001</v>
      </c>
    </row>
    <row r="173" spans="1:7" x14ac:dyDescent="0.25">
      <c r="A173" s="40">
        <v>6505</v>
      </c>
      <c r="B173" s="40">
        <v>16.21</v>
      </c>
      <c r="C173" s="40">
        <v>4</v>
      </c>
      <c r="D173" s="40" t="s">
        <v>21</v>
      </c>
      <c r="E173" s="40">
        <v>7</v>
      </c>
      <c r="F173" s="40">
        <v>9</v>
      </c>
      <c r="G173">
        <v>75.378910000000005</v>
      </c>
    </row>
    <row r="174" spans="1:7" x14ac:dyDescent="0.25">
      <c r="A174" s="40">
        <v>6505</v>
      </c>
      <c r="B174" s="40">
        <v>16.21</v>
      </c>
      <c r="C174" s="40">
        <v>4</v>
      </c>
      <c r="D174" s="40" t="s">
        <v>21</v>
      </c>
      <c r="E174" s="40">
        <v>7</v>
      </c>
      <c r="F174" s="40">
        <v>10</v>
      </c>
      <c r="G174">
        <v>66.046840000000003</v>
      </c>
    </row>
    <row r="175" spans="1:7" x14ac:dyDescent="0.25">
      <c r="A175" s="40">
        <v>6505</v>
      </c>
      <c r="B175" s="40">
        <v>16.21</v>
      </c>
      <c r="C175" s="40">
        <v>4</v>
      </c>
      <c r="D175" s="40" t="s">
        <v>21</v>
      </c>
      <c r="E175" s="40">
        <v>7</v>
      </c>
      <c r="F175" s="40">
        <v>11</v>
      </c>
      <c r="G175">
        <v>54.865319999999997</v>
      </c>
    </row>
    <row r="176" spans="1:7" x14ac:dyDescent="0.25">
      <c r="A176" s="40">
        <v>6505</v>
      </c>
      <c r="B176" s="40">
        <v>16.21</v>
      </c>
      <c r="C176" s="40">
        <v>4</v>
      </c>
      <c r="D176" s="40" t="s">
        <v>21</v>
      </c>
      <c r="E176" s="40">
        <v>7</v>
      </c>
      <c r="F176" s="40">
        <v>12</v>
      </c>
      <c r="G176">
        <v>81.431460000000001</v>
      </c>
    </row>
    <row r="177" spans="1:7" x14ac:dyDescent="0.25">
      <c r="A177" s="40">
        <v>6505</v>
      </c>
      <c r="B177" s="40">
        <v>16.21</v>
      </c>
      <c r="C177" s="40">
        <v>4</v>
      </c>
      <c r="D177" s="40" t="s">
        <v>21</v>
      </c>
      <c r="E177" s="40">
        <v>7</v>
      </c>
      <c r="F177" s="40">
        <v>13</v>
      </c>
      <c r="G177">
        <v>68.946299999999994</v>
      </c>
    </row>
    <row r="178" spans="1:7" x14ac:dyDescent="0.25">
      <c r="A178" s="40">
        <v>6505</v>
      </c>
      <c r="B178" s="40">
        <v>16.21</v>
      </c>
      <c r="C178" s="40">
        <v>4</v>
      </c>
      <c r="D178" s="40" t="s">
        <v>21</v>
      </c>
      <c r="E178" s="40">
        <v>7</v>
      </c>
      <c r="F178" s="40">
        <v>14</v>
      </c>
      <c r="G178">
        <v>67.60951</v>
      </c>
    </row>
    <row r="179" spans="1:7" x14ac:dyDescent="0.25">
      <c r="A179" s="40">
        <v>6505</v>
      </c>
      <c r="B179" s="40">
        <v>16.21</v>
      </c>
      <c r="C179" s="40">
        <v>4</v>
      </c>
      <c r="D179" s="40" t="s">
        <v>21</v>
      </c>
      <c r="E179" s="40">
        <v>7</v>
      </c>
      <c r="F179" s="40">
        <v>15</v>
      </c>
      <c r="G179">
        <v>72.755439999999993</v>
      </c>
    </row>
    <row r="180" spans="1:7" x14ac:dyDescent="0.25">
      <c r="A180" s="40">
        <v>6505</v>
      </c>
      <c r="B180" s="40">
        <v>16.21</v>
      </c>
      <c r="C180" s="40">
        <v>4</v>
      </c>
      <c r="D180" s="40" t="s">
        <v>21</v>
      </c>
      <c r="E180" s="40">
        <v>7</v>
      </c>
      <c r="F180" s="40">
        <v>16</v>
      </c>
      <c r="G180">
        <v>62.802779999999998</v>
      </c>
    </row>
    <row r="181" spans="1:7" x14ac:dyDescent="0.25">
      <c r="A181" s="40">
        <v>6505</v>
      </c>
      <c r="B181" s="40">
        <v>16.21</v>
      </c>
      <c r="C181" s="40">
        <v>4</v>
      </c>
      <c r="D181" s="40" t="s">
        <v>21</v>
      </c>
      <c r="E181" s="40">
        <v>7</v>
      </c>
      <c r="F181" s="40">
        <v>17</v>
      </c>
      <c r="G181">
        <v>64.276790000000005</v>
      </c>
    </row>
    <row r="182" spans="1:7" x14ac:dyDescent="0.25">
      <c r="A182" s="40">
        <v>6505</v>
      </c>
      <c r="B182" s="40">
        <v>16.21</v>
      </c>
      <c r="C182" s="40">
        <v>4</v>
      </c>
      <c r="D182" s="40" t="s">
        <v>21</v>
      </c>
      <c r="E182" s="40">
        <v>7</v>
      </c>
      <c r="F182" s="40">
        <v>18</v>
      </c>
      <c r="G182">
        <v>77.620760000000004</v>
      </c>
    </row>
    <row r="183" spans="1:7" x14ac:dyDescent="0.25">
      <c r="A183" s="40">
        <v>6505</v>
      </c>
      <c r="B183" s="40">
        <v>16.21</v>
      </c>
      <c r="C183" s="40">
        <v>4</v>
      </c>
      <c r="D183" s="40" t="s">
        <v>21</v>
      </c>
      <c r="E183" s="40">
        <v>7</v>
      </c>
      <c r="F183" s="40">
        <v>19</v>
      </c>
      <c r="G183">
        <v>79.25667</v>
      </c>
    </row>
    <row r="184" spans="1:7" x14ac:dyDescent="0.25">
      <c r="A184" s="40">
        <v>6505</v>
      </c>
      <c r="B184" s="40">
        <v>16.21</v>
      </c>
      <c r="C184" s="40">
        <v>4</v>
      </c>
      <c r="D184" s="40" t="s">
        <v>21</v>
      </c>
      <c r="E184" s="40">
        <v>7</v>
      </c>
      <c r="F184" s="40">
        <v>20</v>
      </c>
      <c r="G184">
        <v>70.966120000000004</v>
      </c>
    </row>
    <row r="185" spans="1:7" x14ac:dyDescent="0.25">
      <c r="A185" s="40">
        <v>6505</v>
      </c>
      <c r="B185" s="40">
        <v>16.21</v>
      </c>
      <c r="C185" s="40">
        <v>4</v>
      </c>
      <c r="D185" s="40" t="s">
        <v>21</v>
      </c>
      <c r="E185" s="40">
        <v>7</v>
      </c>
      <c r="F185" s="40">
        <v>21</v>
      </c>
      <c r="G185">
        <v>66.977350000000001</v>
      </c>
    </row>
    <row r="186" spans="1:7" x14ac:dyDescent="0.25">
      <c r="A186" s="40">
        <v>6505</v>
      </c>
      <c r="B186" s="40">
        <v>16.21</v>
      </c>
      <c r="C186" s="40">
        <v>4</v>
      </c>
      <c r="D186" s="40" t="s">
        <v>21</v>
      </c>
      <c r="E186" s="40">
        <v>7</v>
      </c>
      <c r="F186" s="40">
        <v>23</v>
      </c>
      <c r="G186">
        <v>49.969929999999998</v>
      </c>
    </row>
    <row r="187" spans="1:7" x14ac:dyDescent="0.25">
      <c r="A187" s="40">
        <v>6505</v>
      </c>
      <c r="B187" s="40">
        <v>16.21</v>
      </c>
      <c r="C187" s="40">
        <v>4</v>
      </c>
      <c r="D187" s="40" t="s">
        <v>21</v>
      </c>
      <c r="E187" s="40">
        <v>7</v>
      </c>
      <c r="F187" s="40">
        <v>24</v>
      </c>
      <c r="G187">
        <v>60.572490000000002</v>
      </c>
    </row>
    <row r="188" spans="1:7" x14ac:dyDescent="0.25">
      <c r="A188" s="58">
        <v>6505</v>
      </c>
      <c r="B188" s="58">
        <v>16.21</v>
      </c>
      <c r="C188" s="58">
        <v>4</v>
      </c>
      <c r="D188" s="58" t="s">
        <v>21</v>
      </c>
      <c r="E188" s="58">
        <v>7</v>
      </c>
      <c r="F188" s="58">
        <v>25</v>
      </c>
      <c r="G188">
        <v>56.400230000000001</v>
      </c>
    </row>
    <row r="189" spans="1:7" x14ac:dyDescent="0.25">
      <c r="A189" s="40">
        <v>7885</v>
      </c>
      <c r="B189" s="40">
        <v>16.93</v>
      </c>
      <c r="C189" s="40">
        <v>3</v>
      </c>
      <c r="D189" s="40" t="s">
        <v>21</v>
      </c>
      <c r="E189" s="40">
        <v>7</v>
      </c>
      <c r="F189" s="40">
        <v>1</v>
      </c>
      <c r="G189">
        <v>80.773079999999993</v>
      </c>
    </row>
    <row r="190" spans="1:7" x14ac:dyDescent="0.25">
      <c r="A190" s="40">
        <v>7885</v>
      </c>
      <c r="B190" s="40">
        <v>16.93</v>
      </c>
      <c r="C190" s="40">
        <v>3</v>
      </c>
      <c r="D190" s="40" t="s">
        <v>21</v>
      </c>
      <c r="E190" s="40">
        <v>7</v>
      </c>
      <c r="F190" s="40">
        <v>2</v>
      </c>
      <c r="G190">
        <v>94.474770000000007</v>
      </c>
    </row>
    <row r="191" spans="1:7" x14ac:dyDescent="0.25">
      <c r="A191" s="40">
        <v>7885</v>
      </c>
      <c r="B191" s="40">
        <v>16.93</v>
      </c>
      <c r="C191" s="40">
        <v>3</v>
      </c>
      <c r="D191" s="40" t="s">
        <v>21</v>
      </c>
      <c r="E191" s="40">
        <v>7</v>
      </c>
      <c r="F191" s="40">
        <v>4</v>
      </c>
      <c r="G191">
        <v>106.54131</v>
      </c>
    </row>
    <row r="192" spans="1:7" x14ac:dyDescent="0.25">
      <c r="A192" s="40">
        <v>7885</v>
      </c>
      <c r="B192" s="40">
        <v>16.93</v>
      </c>
      <c r="C192" s="40">
        <v>3</v>
      </c>
      <c r="D192" s="40" t="s">
        <v>21</v>
      </c>
      <c r="E192" s="40">
        <v>7</v>
      </c>
      <c r="F192" s="40">
        <v>5</v>
      </c>
      <c r="G192">
        <v>106.25297999999999</v>
      </c>
    </row>
    <row r="193" spans="1:7" x14ac:dyDescent="0.25">
      <c r="A193" s="40">
        <v>7885</v>
      </c>
      <c r="B193" s="40">
        <v>16.93</v>
      </c>
      <c r="C193" s="40">
        <v>3</v>
      </c>
      <c r="D193" s="40" t="s">
        <v>21</v>
      </c>
      <c r="E193" s="40">
        <v>7</v>
      </c>
      <c r="F193" s="40">
        <v>6</v>
      </c>
      <c r="G193">
        <v>92.771789999999996</v>
      </c>
    </row>
    <row r="194" spans="1:7" x14ac:dyDescent="0.25">
      <c r="A194" s="40">
        <v>7885</v>
      </c>
      <c r="B194" s="40">
        <v>16.93</v>
      </c>
      <c r="C194" s="40">
        <v>3</v>
      </c>
      <c r="D194" s="40" t="s">
        <v>21</v>
      </c>
      <c r="E194" s="40">
        <v>7</v>
      </c>
      <c r="F194" s="40">
        <v>7</v>
      </c>
      <c r="G194">
        <v>96.976420000000005</v>
      </c>
    </row>
    <row r="195" spans="1:7" x14ac:dyDescent="0.25">
      <c r="A195" s="40">
        <v>7885</v>
      </c>
      <c r="B195" s="40">
        <v>16.93</v>
      </c>
      <c r="C195" s="40">
        <v>3</v>
      </c>
      <c r="D195" s="40" t="s">
        <v>21</v>
      </c>
      <c r="E195" s="40">
        <v>7</v>
      </c>
      <c r="F195" s="40">
        <v>8</v>
      </c>
      <c r="G195">
        <v>108.3368</v>
      </c>
    </row>
    <row r="196" spans="1:7" x14ac:dyDescent="0.25">
      <c r="A196" s="40">
        <v>7885</v>
      </c>
      <c r="B196" s="40">
        <v>16.93</v>
      </c>
      <c r="C196" s="40">
        <v>3</v>
      </c>
      <c r="D196" s="40" t="s">
        <v>21</v>
      </c>
      <c r="E196" s="40">
        <v>7</v>
      </c>
      <c r="F196" s="40">
        <v>9</v>
      </c>
      <c r="G196">
        <v>108.28438</v>
      </c>
    </row>
    <row r="197" spans="1:7" x14ac:dyDescent="0.25">
      <c r="A197" s="40">
        <v>7885</v>
      </c>
      <c r="B197" s="40">
        <v>16.93</v>
      </c>
      <c r="C197" s="40">
        <v>3</v>
      </c>
      <c r="D197" s="40" t="s">
        <v>21</v>
      </c>
      <c r="E197" s="40">
        <v>7</v>
      </c>
      <c r="F197" s="40">
        <v>10</v>
      </c>
      <c r="G197">
        <v>84.215270000000004</v>
      </c>
    </row>
    <row r="198" spans="1:7" x14ac:dyDescent="0.25">
      <c r="A198" s="40">
        <v>7885</v>
      </c>
      <c r="B198" s="40">
        <v>16.93</v>
      </c>
      <c r="C198" s="40">
        <v>3</v>
      </c>
      <c r="D198" s="40" t="s">
        <v>21</v>
      </c>
      <c r="E198" s="40">
        <v>7</v>
      </c>
      <c r="F198" s="40">
        <v>11</v>
      </c>
      <c r="G198">
        <v>91.84205</v>
      </c>
    </row>
    <row r="199" spans="1:7" x14ac:dyDescent="0.25">
      <c r="A199" s="40">
        <v>7885</v>
      </c>
      <c r="B199" s="40">
        <v>16.93</v>
      </c>
      <c r="C199" s="40">
        <v>3</v>
      </c>
      <c r="D199" s="40" t="s">
        <v>21</v>
      </c>
      <c r="E199" s="40">
        <v>7</v>
      </c>
      <c r="F199" s="40">
        <v>12</v>
      </c>
      <c r="G199">
        <v>98.694820000000007</v>
      </c>
    </row>
    <row r="200" spans="1:7" x14ac:dyDescent="0.25">
      <c r="A200" s="40">
        <v>7885</v>
      </c>
      <c r="B200" s="40">
        <v>16.93</v>
      </c>
      <c r="C200" s="40">
        <v>3</v>
      </c>
      <c r="D200" s="40" t="s">
        <v>21</v>
      </c>
      <c r="E200" s="40">
        <v>7</v>
      </c>
      <c r="F200" s="40">
        <v>13</v>
      </c>
      <c r="G200">
        <v>97.573120000000003</v>
      </c>
    </row>
    <row r="201" spans="1:7" x14ac:dyDescent="0.25">
      <c r="A201" s="40">
        <v>7885</v>
      </c>
      <c r="B201" s="40">
        <v>16.93</v>
      </c>
      <c r="C201" s="40">
        <v>3</v>
      </c>
      <c r="D201" s="40" t="s">
        <v>21</v>
      </c>
      <c r="E201" s="40">
        <v>7</v>
      </c>
      <c r="F201" s="40">
        <v>14</v>
      </c>
      <c r="G201">
        <v>101.20958</v>
      </c>
    </row>
    <row r="202" spans="1:7" x14ac:dyDescent="0.25">
      <c r="A202" s="40">
        <v>7885</v>
      </c>
      <c r="B202" s="40">
        <v>16.93</v>
      </c>
      <c r="C202" s="40">
        <v>3</v>
      </c>
      <c r="D202" s="40" t="s">
        <v>21</v>
      </c>
      <c r="E202" s="40">
        <v>7</v>
      </c>
      <c r="F202" s="40">
        <v>17</v>
      </c>
      <c r="G202">
        <v>94.623549999999994</v>
      </c>
    </row>
    <row r="203" spans="1:7" x14ac:dyDescent="0.25">
      <c r="A203" s="40">
        <v>7885</v>
      </c>
      <c r="B203" s="40">
        <v>16.93</v>
      </c>
      <c r="C203" s="40">
        <v>3</v>
      </c>
      <c r="D203" s="40" t="s">
        <v>21</v>
      </c>
      <c r="E203" s="40">
        <v>7</v>
      </c>
      <c r="F203" s="40">
        <v>18</v>
      </c>
      <c r="G203">
        <v>103.24867999999999</v>
      </c>
    </row>
    <row r="204" spans="1:7" x14ac:dyDescent="0.25">
      <c r="A204" s="40">
        <v>7885</v>
      </c>
      <c r="B204" s="40">
        <v>16.93</v>
      </c>
      <c r="C204" s="40">
        <v>3</v>
      </c>
      <c r="D204" s="40" t="s">
        <v>21</v>
      </c>
      <c r="E204" s="40">
        <v>7</v>
      </c>
      <c r="F204" s="40">
        <v>20</v>
      </c>
      <c r="G204">
        <v>92.029390000000006</v>
      </c>
    </row>
    <row r="205" spans="1:7" x14ac:dyDescent="0.25">
      <c r="A205" s="40">
        <v>7885</v>
      </c>
      <c r="B205" s="40">
        <v>16.93</v>
      </c>
      <c r="C205" s="40">
        <v>3</v>
      </c>
      <c r="D205" s="40" t="s">
        <v>21</v>
      </c>
      <c r="E205" s="40">
        <v>7</v>
      </c>
      <c r="F205" s="40">
        <v>21</v>
      </c>
      <c r="G205">
        <v>89.448319999999995</v>
      </c>
    </row>
    <row r="206" spans="1:7" x14ac:dyDescent="0.25">
      <c r="A206" s="40">
        <v>7885</v>
      </c>
      <c r="B206" s="40">
        <v>16.93</v>
      </c>
      <c r="C206" s="40">
        <v>3</v>
      </c>
      <c r="D206" s="40" t="s">
        <v>21</v>
      </c>
      <c r="E206" s="40">
        <v>7</v>
      </c>
      <c r="F206" s="40">
        <v>24</v>
      </c>
      <c r="G206">
        <v>101.05616999999999</v>
      </c>
    </row>
    <row r="207" spans="1:7" x14ac:dyDescent="0.25">
      <c r="A207" s="40">
        <v>7885</v>
      </c>
      <c r="B207" s="40">
        <v>16.93</v>
      </c>
      <c r="C207" s="40">
        <v>3</v>
      </c>
      <c r="D207" s="40" t="s">
        <v>21</v>
      </c>
      <c r="E207" s="40">
        <v>7</v>
      </c>
      <c r="F207" s="40">
        <v>25</v>
      </c>
      <c r="G207">
        <v>83.521439999999998</v>
      </c>
    </row>
    <row r="208" spans="1:7" x14ac:dyDescent="0.25">
      <c r="A208" s="40">
        <v>7885</v>
      </c>
      <c r="B208" s="40">
        <v>16.93</v>
      </c>
      <c r="C208" s="40">
        <v>3</v>
      </c>
      <c r="D208" s="40" t="s">
        <v>21</v>
      </c>
      <c r="E208" s="40">
        <v>7</v>
      </c>
      <c r="F208" s="40">
        <v>26</v>
      </c>
      <c r="G208">
        <v>100.31376</v>
      </c>
    </row>
    <row r="209" spans="1:7" x14ac:dyDescent="0.25">
      <c r="A209" s="40">
        <v>7885</v>
      </c>
      <c r="B209" s="40">
        <v>16.93</v>
      </c>
      <c r="C209" s="40">
        <v>3</v>
      </c>
      <c r="D209" s="40" t="s">
        <v>21</v>
      </c>
      <c r="E209" s="40">
        <v>7</v>
      </c>
      <c r="F209" s="40">
        <v>27</v>
      </c>
      <c r="G209">
        <v>87.528720000000007</v>
      </c>
    </row>
    <row r="210" spans="1:7" x14ac:dyDescent="0.25">
      <c r="A210" s="58">
        <v>7885</v>
      </c>
      <c r="B210" s="58">
        <v>16.93</v>
      </c>
      <c r="C210" s="58">
        <v>3</v>
      </c>
      <c r="D210" s="58" t="s">
        <v>21</v>
      </c>
      <c r="E210" s="58">
        <v>7</v>
      </c>
      <c r="F210" s="58">
        <v>28</v>
      </c>
      <c r="G210">
        <v>95.559460000000001</v>
      </c>
    </row>
    <row r="211" spans="1:7" x14ac:dyDescent="0.25">
      <c r="A211" s="40">
        <v>1157</v>
      </c>
      <c r="B211" s="40">
        <v>17.98</v>
      </c>
      <c r="C211" s="40">
        <v>2</v>
      </c>
      <c r="D211" s="40" t="s">
        <v>0</v>
      </c>
      <c r="E211" s="40">
        <v>7</v>
      </c>
      <c r="F211" s="40">
        <v>5</v>
      </c>
      <c r="G211">
        <v>57.428649999999998</v>
      </c>
    </row>
    <row r="212" spans="1:7" x14ac:dyDescent="0.25">
      <c r="A212" s="40">
        <v>1157</v>
      </c>
      <c r="B212" s="40">
        <v>17.98</v>
      </c>
      <c r="C212" s="40">
        <v>2</v>
      </c>
      <c r="D212" s="40" t="s">
        <v>0</v>
      </c>
      <c r="E212" s="40">
        <v>7</v>
      </c>
      <c r="F212" s="40">
        <v>6</v>
      </c>
      <c r="G212">
        <v>44.645139999999998</v>
      </c>
    </row>
    <row r="213" spans="1:7" x14ac:dyDescent="0.25">
      <c r="A213" s="40">
        <v>1157</v>
      </c>
      <c r="B213" s="40">
        <v>17.98</v>
      </c>
      <c r="C213" s="40">
        <v>2</v>
      </c>
      <c r="D213" s="40" t="s">
        <v>0</v>
      </c>
      <c r="E213" s="40">
        <v>7</v>
      </c>
      <c r="F213" s="40">
        <v>7</v>
      </c>
      <c r="G213">
        <v>51.607379999999999</v>
      </c>
    </row>
    <row r="214" spans="1:7" x14ac:dyDescent="0.25">
      <c r="A214" s="40">
        <v>1157</v>
      </c>
      <c r="B214" s="40">
        <v>17.98</v>
      </c>
      <c r="C214" s="40">
        <v>2</v>
      </c>
      <c r="D214" s="40" t="s">
        <v>0</v>
      </c>
      <c r="E214" s="40">
        <v>7</v>
      </c>
      <c r="F214" s="40">
        <v>8</v>
      </c>
      <c r="G214">
        <v>49.381720000000001</v>
      </c>
    </row>
    <row r="215" spans="1:7" x14ac:dyDescent="0.25">
      <c r="A215" s="40">
        <v>1157</v>
      </c>
      <c r="B215" s="40">
        <v>17.98</v>
      </c>
      <c r="C215" s="40">
        <v>2</v>
      </c>
      <c r="D215" s="40" t="s">
        <v>0</v>
      </c>
      <c r="E215" s="40">
        <v>7</v>
      </c>
      <c r="F215" s="40">
        <v>9</v>
      </c>
      <c r="G215">
        <v>60.032069999999997</v>
      </c>
    </row>
    <row r="216" spans="1:7" x14ac:dyDescent="0.25">
      <c r="A216" s="40">
        <v>1157</v>
      </c>
      <c r="B216" s="40">
        <v>17.98</v>
      </c>
      <c r="C216" s="40">
        <v>2</v>
      </c>
      <c r="D216" s="40" t="s">
        <v>0</v>
      </c>
      <c r="E216" s="40">
        <v>7</v>
      </c>
      <c r="F216" s="40">
        <v>10</v>
      </c>
      <c r="G216">
        <v>43.937429999999999</v>
      </c>
    </row>
    <row r="217" spans="1:7" x14ac:dyDescent="0.25">
      <c r="A217" s="40">
        <v>1157</v>
      </c>
      <c r="B217" s="40">
        <v>17.98</v>
      </c>
      <c r="C217" s="40">
        <v>2</v>
      </c>
      <c r="D217" s="40" t="s">
        <v>0</v>
      </c>
      <c r="E217" s="40">
        <v>7</v>
      </c>
      <c r="F217" s="40">
        <v>11</v>
      </c>
      <c r="G217">
        <v>63.946840000000002</v>
      </c>
    </row>
    <row r="218" spans="1:7" x14ac:dyDescent="0.25">
      <c r="A218" s="40">
        <v>1157</v>
      </c>
      <c r="B218" s="40">
        <v>17.98</v>
      </c>
      <c r="C218" s="40">
        <v>2</v>
      </c>
      <c r="D218" s="40" t="s">
        <v>0</v>
      </c>
      <c r="E218" s="40">
        <v>7</v>
      </c>
      <c r="F218" s="40">
        <v>12</v>
      </c>
      <c r="G218">
        <v>50.889650000000003</v>
      </c>
    </row>
    <row r="219" spans="1:7" x14ac:dyDescent="0.25">
      <c r="A219" s="40">
        <v>1157</v>
      </c>
      <c r="B219" s="40">
        <v>17.98</v>
      </c>
      <c r="C219" s="40">
        <v>2</v>
      </c>
      <c r="D219" s="40" t="s">
        <v>0</v>
      </c>
      <c r="E219" s="40">
        <v>7</v>
      </c>
      <c r="F219" s="40">
        <v>13</v>
      </c>
      <c r="G219">
        <v>57.514989999999997</v>
      </c>
    </row>
    <row r="220" spans="1:7" x14ac:dyDescent="0.25">
      <c r="A220" s="40">
        <v>1157</v>
      </c>
      <c r="B220" s="40">
        <v>17.98</v>
      </c>
      <c r="C220" s="40">
        <v>2</v>
      </c>
      <c r="D220" s="40" t="s">
        <v>0</v>
      </c>
      <c r="E220" s="40">
        <v>7</v>
      </c>
      <c r="F220" s="40">
        <v>14</v>
      </c>
      <c r="G220">
        <v>55.650120000000001</v>
      </c>
    </row>
    <row r="221" spans="1:7" x14ac:dyDescent="0.25">
      <c r="A221" s="40">
        <v>1157</v>
      </c>
      <c r="B221" s="40">
        <v>17.98</v>
      </c>
      <c r="C221" s="40">
        <v>2</v>
      </c>
      <c r="D221" s="40" t="s">
        <v>0</v>
      </c>
      <c r="E221" s="40">
        <v>7</v>
      </c>
      <c r="F221" s="40">
        <v>15</v>
      </c>
      <c r="G221">
        <v>50.651429999999998</v>
      </c>
    </row>
    <row r="222" spans="1:7" x14ac:dyDescent="0.25">
      <c r="A222" s="40">
        <v>1157</v>
      </c>
      <c r="B222" s="40">
        <v>17.98</v>
      </c>
      <c r="C222" s="40">
        <v>2</v>
      </c>
      <c r="D222" s="40" t="s">
        <v>0</v>
      </c>
      <c r="E222" s="40">
        <v>7</v>
      </c>
      <c r="F222" s="40">
        <v>16</v>
      </c>
      <c r="G222">
        <v>47.179180000000002</v>
      </c>
    </row>
    <row r="223" spans="1:7" x14ac:dyDescent="0.25">
      <c r="A223" s="40">
        <v>1157</v>
      </c>
      <c r="B223" s="40">
        <v>17.98</v>
      </c>
      <c r="C223" s="40">
        <v>2</v>
      </c>
      <c r="D223" s="40" t="s">
        <v>0</v>
      </c>
      <c r="E223" s="40">
        <v>7</v>
      </c>
      <c r="F223" s="40">
        <v>17</v>
      </c>
      <c r="G223">
        <v>44.749989999999997</v>
      </c>
    </row>
    <row r="224" spans="1:7" x14ac:dyDescent="0.25">
      <c r="A224" s="40">
        <v>1157</v>
      </c>
      <c r="B224" s="40">
        <v>17.98</v>
      </c>
      <c r="C224" s="40">
        <v>2</v>
      </c>
      <c r="D224" s="40" t="s">
        <v>0</v>
      </c>
      <c r="E224" s="40">
        <v>7</v>
      </c>
      <c r="F224" s="40">
        <v>18</v>
      </c>
      <c r="G224">
        <v>47.139859999999999</v>
      </c>
    </row>
    <row r="225" spans="1:7" x14ac:dyDescent="0.25">
      <c r="A225" s="40">
        <v>1157</v>
      </c>
      <c r="B225" s="40">
        <v>17.98</v>
      </c>
      <c r="C225" s="40">
        <v>2</v>
      </c>
      <c r="D225" s="40" t="s">
        <v>0</v>
      </c>
      <c r="E225" s="40">
        <v>7</v>
      </c>
      <c r="F225" s="40">
        <v>19</v>
      </c>
      <c r="G225">
        <v>61.206189999999999</v>
      </c>
    </row>
    <row r="226" spans="1:7" x14ac:dyDescent="0.25">
      <c r="A226" s="40">
        <v>1157</v>
      </c>
      <c r="B226" s="40">
        <v>17.98</v>
      </c>
      <c r="C226" s="40">
        <v>2</v>
      </c>
      <c r="D226" s="40" t="s">
        <v>0</v>
      </c>
      <c r="E226" s="40">
        <v>7</v>
      </c>
      <c r="F226" s="40">
        <v>20</v>
      </c>
      <c r="G226">
        <v>56.954529999999998</v>
      </c>
    </row>
    <row r="227" spans="1:7" x14ac:dyDescent="0.25">
      <c r="A227" s="40">
        <v>1157</v>
      </c>
      <c r="B227" s="40">
        <v>17.98</v>
      </c>
      <c r="C227" s="40">
        <v>2</v>
      </c>
      <c r="D227" s="40" t="s">
        <v>0</v>
      </c>
      <c r="E227" s="40">
        <v>7</v>
      </c>
      <c r="F227" s="40">
        <v>21</v>
      </c>
      <c r="G227">
        <v>60.828440000000001</v>
      </c>
    </row>
    <row r="228" spans="1:7" x14ac:dyDescent="0.25">
      <c r="A228" s="58">
        <v>1157</v>
      </c>
      <c r="B228" s="58">
        <v>17.98</v>
      </c>
      <c r="C228" s="58">
        <v>2</v>
      </c>
      <c r="D228" s="40" t="s">
        <v>0</v>
      </c>
      <c r="E228" s="58">
        <v>7</v>
      </c>
      <c r="F228" s="58">
        <v>22</v>
      </c>
      <c r="G228">
        <v>53.236350000000002</v>
      </c>
    </row>
    <row r="229" spans="1:7" x14ac:dyDescent="0.25">
      <c r="A229" s="40">
        <v>3644</v>
      </c>
      <c r="B229" s="40">
        <v>16.5</v>
      </c>
      <c r="C229" s="40">
        <v>2</v>
      </c>
      <c r="D229" s="40" t="s">
        <v>0</v>
      </c>
      <c r="E229" s="40">
        <v>7</v>
      </c>
      <c r="F229" s="40">
        <v>2</v>
      </c>
      <c r="G229">
        <v>69.260059999999996</v>
      </c>
    </row>
    <row r="230" spans="1:7" x14ac:dyDescent="0.25">
      <c r="A230" s="40">
        <v>3644</v>
      </c>
      <c r="B230" s="40">
        <v>16.5</v>
      </c>
      <c r="C230" s="40">
        <v>2</v>
      </c>
      <c r="D230" s="40" t="s">
        <v>0</v>
      </c>
      <c r="E230" s="40">
        <v>7</v>
      </c>
      <c r="F230" s="40">
        <v>3</v>
      </c>
      <c r="G230">
        <v>59.40916</v>
      </c>
    </row>
    <row r="231" spans="1:7" x14ac:dyDescent="0.25">
      <c r="A231" s="40">
        <v>3644</v>
      </c>
      <c r="B231" s="40">
        <v>16.5</v>
      </c>
      <c r="C231" s="40">
        <v>2</v>
      </c>
      <c r="D231" s="40" t="s">
        <v>0</v>
      </c>
      <c r="E231" s="40">
        <v>7</v>
      </c>
      <c r="F231" s="40">
        <v>4</v>
      </c>
      <c r="G231">
        <v>57.72777</v>
      </c>
    </row>
    <row r="232" spans="1:7" x14ac:dyDescent="0.25">
      <c r="A232" s="40">
        <v>3644</v>
      </c>
      <c r="B232" s="40">
        <v>16.5</v>
      </c>
      <c r="C232" s="40">
        <v>2</v>
      </c>
      <c r="D232" s="40" t="s">
        <v>0</v>
      </c>
      <c r="E232" s="40">
        <v>7</v>
      </c>
      <c r="F232" s="40">
        <v>5</v>
      </c>
      <c r="G232">
        <v>62.399590000000003</v>
      </c>
    </row>
    <row r="233" spans="1:7" x14ac:dyDescent="0.25">
      <c r="A233" s="40">
        <v>3644</v>
      </c>
      <c r="B233" s="40">
        <v>16.5</v>
      </c>
      <c r="C233" s="40">
        <v>2</v>
      </c>
      <c r="D233" s="40" t="s">
        <v>0</v>
      </c>
      <c r="E233" s="40">
        <v>7</v>
      </c>
      <c r="F233" s="40">
        <v>6</v>
      </c>
      <c r="G233">
        <v>64.838030000000003</v>
      </c>
    </row>
    <row r="234" spans="1:7" x14ac:dyDescent="0.25">
      <c r="A234" s="40">
        <v>3644</v>
      </c>
      <c r="B234" s="40">
        <v>16.5</v>
      </c>
      <c r="C234" s="40">
        <v>2</v>
      </c>
      <c r="D234" s="40" t="s">
        <v>0</v>
      </c>
      <c r="E234" s="40">
        <v>7</v>
      </c>
      <c r="F234" s="40">
        <v>7</v>
      </c>
      <c r="G234">
        <v>51.15793</v>
      </c>
    </row>
    <row r="235" spans="1:7" x14ac:dyDescent="0.25">
      <c r="A235" s="40">
        <v>3644</v>
      </c>
      <c r="B235" s="40">
        <v>16.5</v>
      </c>
      <c r="C235" s="40">
        <v>2</v>
      </c>
      <c r="D235" s="40" t="s">
        <v>0</v>
      </c>
      <c r="E235" s="40">
        <v>7</v>
      </c>
      <c r="F235" s="40">
        <v>8</v>
      </c>
      <c r="G235">
        <v>68.378889999999998</v>
      </c>
    </row>
    <row r="236" spans="1:7" x14ac:dyDescent="0.25">
      <c r="A236" s="40">
        <v>3644</v>
      </c>
      <c r="B236" s="40">
        <v>16.5</v>
      </c>
      <c r="C236" s="40">
        <v>2</v>
      </c>
      <c r="D236" s="40" t="s">
        <v>0</v>
      </c>
      <c r="E236" s="40">
        <v>7</v>
      </c>
      <c r="F236" s="40">
        <v>10</v>
      </c>
      <c r="G236">
        <v>64.97448</v>
      </c>
    </row>
    <row r="237" spans="1:7" x14ac:dyDescent="0.25">
      <c r="A237" s="40">
        <v>3644</v>
      </c>
      <c r="B237" s="40">
        <v>16.5</v>
      </c>
      <c r="C237" s="40">
        <v>2</v>
      </c>
      <c r="D237" s="40" t="s">
        <v>0</v>
      </c>
      <c r="E237" s="40">
        <v>7</v>
      </c>
      <c r="F237" s="40">
        <v>11</v>
      </c>
      <c r="G237">
        <v>70.327799999999996</v>
      </c>
    </row>
    <row r="238" spans="1:7" x14ac:dyDescent="0.25">
      <c r="A238" s="40">
        <v>3644</v>
      </c>
      <c r="B238" s="40">
        <v>16.5</v>
      </c>
      <c r="C238" s="40">
        <v>2</v>
      </c>
      <c r="D238" s="40" t="s">
        <v>0</v>
      </c>
      <c r="E238" s="40">
        <v>7</v>
      </c>
      <c r="F238" s="40">
        <v>13</v>
      </c>
      <c r="G238">
        <v>56.971490000000003</v>
      </c>
    </row>
    <row r="239" spans="1:7" x14ac:dyDescent="0.25">
      <c r="A239" s="40">
        <v>3644</v>
      </c>
      <c r="B239" s="40">
        <v>16.5</v>
      </c>
      <c r="C239" s="40">
        <v>2</v>
      </c>
      <c r="D239" s="40" t="s">
        <v>0</v>
      </c>
      <c r="E239" s="40">
        <v>7</v>
      </c>
      <c r="F239" s="40">
        <v>15</v>
      </c>
      <c r="G239">
        <v>52.640419999999999</v>
      </c>
    </row>
    <row r="240" spans="1:7" x14ac:dyDescent="0.25">
      <c r="A240" s="40">
        <v>3644</v>
      </c>
      <c r="B240" s="40">
        <v>16.5</v>
      </c>
      <c r="C240" s="40">
        <v>2</v>
      </c>
      <c r="D240" s="40" t="s">
        <v>0</v>
      </c>
      <c r="E240" s="40">
        <v>7</v>
      </c>
      <c r="F240" s="40">
        <v>16</v>
      </c>
      <c r="G240">
        <v>49.323900000000002</v>
      </c>
    </row>
    <row r="241" spans="1:7" x14ac:dyDescent="0.25">
      <c r="A241" s="40">
        <v>3644</v>
      </c>
      <c r="B241" s="40">
        <v>16.5</v>
      </c>
      <c r="C241" s="40">
        <v>2</v>
      </c>
      <c r="D241" s="40" t="s">
        <v>0</v>
      </c>
      <c r="E241" s="40">
        <v>7</v>
      </c>
      <c r="F241" s="40">
        <v>18</v>
      </c>
      <c r="G241">
        <v>54.950890000000001</v>
      </c>
    </row>
    <row r="242" spans="1:7" x14ac:dyDescent="0.25">
      <c r="A242" s="40">
        <v>3644</v>
      </c>
      <c r="B242" s="40">
        <v>16.5</v>
      </c>
      <c r="C242" s="40">
        <v>2</v>
      </c>
      <c r="D242" s="40" t="s">
        <v>0</v>
      </c>
      <c r="E242" s="40">
        <v>7</v>
      </c>
      <c r="F242" s="40">
        <v>19</v>
      </c>
      <c r="G242">
        <v>60.405970000000003</v>
      </c>
    </row>
    <row r="243" spans="1:7" x14ac:dyDescent="0.25">
      <c r="A243" s="40">
        <v>3644</v>
      </c>
      <c r="B243" s="40">
        <v>16.5</v>
      </c>
      <c r="C243" s="40">
        <v>2</v>
      </c>
      <c r="D243" s="40" t="s">
        <v>0</v>
      </c>
      <c r="E243" s="40">
        <v>7</v>
      </c>
      <c r="F243" s="40">
        <v>20</v>
      </c>
      <c r="G243">
        <v>71.901259999999994</v>
      </c>
    </row>
    <row r="244" spans="1:7" x14ac:dyDescent="0.25">
      <c r="A244" s="40">
        <v>3644</v>
      </c>
      <c r="B244" s="40">
        <v>16.5</v>
      </c>
      <c r="C244" s="40">
        <v>2</v>
      </c>
      <c r="D244" s="40" t="s">
        <v>0</v>
      </c>
      <c r="E244" s="40">
        <v>7</v>
      </c>
      <c r="F244" s="40">
        <v>22</v>
      </c>
      <c r="G244">
        <v>68.909289999999999</v>
      </c>
    </row>
    <row r="245" spans="1:7" x14ac:dyDescent="0.25">
      <c r="A245" s="40">
        <v>3644</v>
      </c>
      <c r="B245" s="40">
        <v>16.5</v>
      </c>
      <c r="C245" s="40">
        <v>2</v>
      </c>
      <c r="D245" s="40" t="s">
        <v>0</v>
      </c>
      <c r="E245" s="40">
        <v>7</v>
      </c>
      <c r="F245" s="40">
        <v>24</v>
      </c>
      <c r="G245">
        <v>69.769649999999999</v>
      </c>
    </row>
    <row r="246" spans="1:7" x14ac:dyDescent="0.25">
      <c r="A246" s="40">
        <v>3644</v>
      </c>
      <c r="B246" s="40">
        <v>16.5</v>
      </c>
      <c r="C246" s="40">
        <v>2</v>
      </c>
      <c r="D246" s="40" t="s">
        <v>0</v>
      </c>
      <c r="E246" s="40">
        <v>7</v>
      </c>
      <c r="F246" s="40">
        <v>25</v>
      </c>
      <c r="G246">
        <v>72.297510000000003</v>
      </c>
    </row>
    <row r="247" spans="1:7" x14ac:dyDescent="0.25">
      <c r="A247" s="40">
        <v>3644</v>
      </c>
      <c r="B247" s="40">
        <v>16.5</v>
      </c>
      <c r="C247" s="40">
        <v>2</v>
      </c>
      <c r="D247" s="40" t="s">
        <v>0</v>
      </c>
      <c r="E247" s="40">
        <v>7</v>
      </c>
      <c r="F247" s="40">
        <v>26</v>
      </c>
      <c r="G247">
        <v>68.64255</v>
      </c>
    </row>
    <row r="248" spans="1:7" x14ac:dyDescent="0.25">
      <c r="A248" s="40">
        <v>3644</v>
      </c>
      <c r="B248" s="40">
        <v>16.5</v>
      </c>
      <c r="C248" s="40">
        <v>2</v>
      </c>
      <c r="D248" s="40" t="s">
        <v>0</v>
      </c>
      <c r="E248" s="40">
        <v>7</v>
      </c>
      <c r="F248" s="40">
        <v>27</v>
      </c>
      <c r="G248">
        <v>59.619619999999998</v>
      </c>
    </row>
    <row r="249" spans="1:7" x14ac:dyDescent="0.25">
      <c r="A249" s="58">
        <v>3644</v>
      </c>
      <c r="B249" s="58">
        <v>16.5</v>
      </c>
      <c r="C249" s="58">
        <v>2</v>
      </c>
      <c r="D249" s="40" t="s">
        <v>0</v>
      </c>
      <c r="E249" s="58">
        <v>7</v>
      </c>
      <c r="F249" s="58">
        <v>28</v>
      </c>
      <c r="G249">
        <v>70.704009999999997</v>
      </c>
    </row>
    <row r="250" spans="1:7" x14ac:dyDescent="0.25">
      <c r="A250" s="40">
        <v>3651</v>
      </c>
      <c r="B250" s="40">
        <v>16.27</v>
      </c>
      <c r="C250" s="40">
        <v>5</v>
      </c>
      <c r="D250" s="40" t="s">
        <v>0</v>
      </c>
      <c r="E250" s="40">
        <v>7</v>
      </c>
      <c r="F250" s="40">
        <v>1</v>
      </c>
      <c r="G250">
        <v>51.191850000000002</v>
      </c>
    </row>
    <row r="251" spans="1:7" x14ac:dyDescent="0.25">
      <c r="A251" s="40">
        <v>3651</v>
      </c>
      <c r="B251" s="40">
        <v>16.27</v>
      </c>
      <c r="C251" s="40">
        <v>5</v>
      </c>
      <c r="D251" s="40" t="s">
        <v>0</v>
      </c>
      <c r="E251" s="40">
        <v>7</v>
      </c>
      <c r="F251" s="40">
        <v>2</v>
      </c>
      <c r="G251">
        <v>57.029310000000002</v>
      </c>
    </row>
    <row r="252" spans="1:7" x14ac:dyDescent="0.25">
      <c r="A252" s="40">
        <v>3651</v>
      </c>
      <c r="B252" s="40">
        <v>16.27</v>
      </c>
      <c r="C252" s="40">
        <v>5</v>
      </c>
      <c r="D252" s="40" t="s">
        <v>0</v>
      </c>
      <c r="E252" s="40">
        <v>7</v>
      </c>
      <c r="F252" s="40">
        <v>3</v>
      </c>
      <c r="G252">
        <v>63.536700000000003</v>
      </c>
    </row>
    <row r="253" spans="1:7" x14ac:dyDescent="0.25">
      <c r="A253" s="40">
        <v>3651</v>
      </c>
      <c r="B253" s="40">
        <v>16.27</v>
      </c>
      <c r="C253" s="40">
        <v>5</v>
      </c>
      <c r="D253" s="40" t="s">
        <v>0</v>
      </c>
      <c r="E253" s="40">
        <v>7</v>
      </c>
      <c r="F253" s="40">
        <v>4</v>
      </c>
      <c r="G253">
        <v>55.488999999999997</v>
      </c>
    </row>
    <row r="254" spans="1:7" x14ac:dyDescent="0.25">
      <c r="A254" s="40">
        <v>3651</v>
      </c>
      <c r="B254" s="40">
        <v>16.27</v>
      </c>
      <c r="C254" s="40">
        <v>5</v>
      </c>
      <c r="D254" s="40" t="s">
        <v>0</v>
      </c>
      <c r="E254" s="40">
        <v>7</v>
      </c>
      <c r="F254" s="40">
        <v>5</v>
      </c>
      <c r="G254">
        <v>57.401670000000003</v>
      </c>
    </row>
    <row r="255" spans="1:7" x14ac:dyDescent="0.25">
      <c r="A255" s="40">
        <v>3651</v>
      </c>
      <c r="B255" s="40">
        <v>16.27</v>
      </c>
      <c r="C255" s="40">
        <v>5</v>
      </c>
      <c r="D255" s="40" t="s">
        <v>0</v>
      </c>
      <c r="E255" s="40">
        <v>7</v>
      </c>
      <c r="F255" s="40">
        <v>6</v>
      </c>
      <c r="G255">
        <v>59.440770000000001</v>
      </c>
    </row>
    <row r="256" spans="1:7" x14ac:dyDescent="0.25">
      <c r="A256" s="40">
        <v>3651</v>
      </c>
      <c r="B256" s="40">
        <v>16.27</v>
      </c>
      <c r="C256" s="40">
        <v>5</v>
      </c>
      <c r="D256" s="40" t="s">
        <v>0</v>
      </c>
      <c r="E256" s="40">
        <v>7</v>
      </c>
      <c r="F256" s="40">
        <v>8</v>
      </c>
      <c r="G256">
        <v>52.712890000000002</v>
      </c>
    </row>
    <row r="257" spans="1:7" x14ac:dyDescent="0.25">
      <c r="A257" s="40">
        <v>3651</v>
      </c>
      <c r="B257" s="40">
        <v>16.27</v>
      </c>
      <c r="C257" s="40">
        <v>5</v>
      </c>
      <c r="D257" s="40" t="s">
        <v>0</v>
      </c>
      <c r="E257" s="40">
        <v>7</v>
      </c>
      <c r="F257" s="40">
        <v>9</v>
      </c>
      <c r="G257">
        <v>46.328069999999997</v>
      </c>
    </row>
    <row r="258" spans="1:7" x14ac:dyDescent="0.25">
      <c r="A258" s="40">
        <v>3651</v>
      </c>
      <c r="B258" s="40">
        <v>16.27</v>
      </c>
      <c r="C258" s="40">
        <v>5</v>
      </c>
      <c r="D258" s="40" t="s">
        <v>0</v>
      </c>
      <c r="E258" s="40">
        <v>7</v>
      </c>
      <c r="F258" s="40">
        <v>11</v>
      </c>
      <c r="G258">
        <v>41.797339999999998</v>
      </c>
    </row>
    <row r="259" spans="1:7" x14ac:dyDescent="0.25">
      <c r="A259" s="40">
        <v>3651</v>
      </c>
      <c r="B259" s="40">
        <v>16.27</v>
      </c>
      <c r="C259" s="40">
        <v>5</v>
      </c>
      <c r="D259" s="40" t="s">
        <v>0</v>
      </c>
      <c r="E259" s="40">
        <v>7</v>
      </c>
      <c r="F259" s="40">
        <v>12</v>
      </c>
      <c r="G259">
        <v>60.244070000000001</v>
      </c>
    </row>
    <row r="260" spans="1:7" x14ac:dyDescent="0.25">
      <c r="A260" s="40">
        <v>3651</v>
      </c>
      <c r="B260" s="40">
        <v>16.27</v>
      </c>
      <c r="C260" s="40">
        <v>5</v>
      </c>
      <c r="D260" s="40" t="s">
        <v>0</v>
      </c>
      <c r="E260" s="40">
        <v>7</v>
      </c>
      <c r="F260" s="40">
        <v>13</v>
      </c>
      <c r="G260">
        <v>49.902859999999997</v>
      </c>
    </row>
    <row r="261" spans="1:7" x14ac:dyDescent="0.25">
      <c r="A261" s="40">
        <v>3651</v>
      </c>
      <c r="B261" s="40">
        <v>16.27</v>
      </c>
      <c r="C261" s="40">
        <v>5</v>
      </c>
      <c r="D261" s="40" t="s">
        <v>0</v>
      </c>
      <c r="E261" s="40">
        <v>7</v>
      </c>
      <c r="F261" s="40">
        <v>14</v>
      </c>
      <c r="G261">
        <v>44.45241</v>
      </c>
    </row>
    <row r="262" spans="1:7" x14ac:dyDescent="0.25">
      <c r="A262" s="40">
        <v>3651</v>
      </c>
      <c r="B262" s="40">
        <v>16.27</v>
      </c>
      <c r="C262" s="40">
        <v>5</v>
      </c>
      <c r="D262" s="40" t="s">
        <v>0</v>
      </c>
      <c r="E262" s="40">
        <v>7</v>
      </c>
      <c r="F262" s="40">
        <v>15</v>
      </c>
      <c r="G262">
        <v>56.062570000000001</v>
      </c>
    </row>
    <row r="263" spans="1:7" x14ac:dyDescent="0.25">
      <c r="A263" s="40">
        <v>3651</v>
      </c>
      <c r="B263" s="40">
        <v>16.27</v>
      </c>
      <c r="C263" s="40">
        <v>5</v>
      </c>
      <c r="D263" s="40" t="s">
        <v>0</v>
      </c>
      <c r="E263" s="40">
        <v>7</v>
      </c>
      <c r="F263" s="40">
        <v>16</v>
      </c>
      <c r="G263">
        <v>50.841079999999998</v>
      </c>
    </row>
    <row r="264" spans="1:7" x14ac:dyDescent="0.25">
      <c r="A264" s="40">
        <v>3651</v>
      </c>
      <c r="B264" s="40">
        <v>16.27</v>
      </c>
      <c r="C264" s="40">
        <v>5</v>
      </c>
      <c r="D264" s="40" t="s">
        <v>0</v>
      </c>
      <c r="E264" s="40">
        <v>7</v>
      </c>
      <c r="F264" s="40">
        <v>17</v>
      </c>
      <c r="G264">
        <v>47.581600000000002</v>
      </c>
    </row>
    <row r="265" spans="1:7" x14ac:dyDescent="0.25">
      <c r="A265" s="40">
        <v>3651</v>
      </c>
      <c r="B265" s="40">
        <v>16.27</v>
      </c>
      <c r="C265" s="40">
        <v>5</v>
      </c>
      <c r="D265" s="40" t="s">
        <v>0</v>
      </c>
      <c r="E265" s="40">
        <v>7</v>
      </c>
      <c r="F265" s="40">
        <v>18</v>
      </c>
      <c r="G265">
        <v>47.893059999999998</v>
      </c>
    </row>
    <row r="266" spans="1:7" x14ac:dyDescent="0.25">
      <c r="A266" s="40">
        <v>3651</v>
      </c>
      <c r="B266" s="40">
        <v>16.27</v>
      </c>
      <c r="C266" s="40">
        <v>5</v>
      </c>
      <c r="D266" s="40" t="s">
        <v>0</v>
      </c>
      <c r="E266" s="40">
        <v>7</v>
      </c>
      <c r="F266" s="40">
        <v>19</v>
      </c>
      <c r="G266">
        <v>45.622680000000003</v>
      </c>
    </row>
    <row r="267" spans="1:7" x14ac:dyDescent="0.25">
      <c r="A267" s="40">
        <v>3651</v>
      </c>
      <c r="B267" s="40">
        <v>16.27</v>
      </c>
      <c r="C267" s="40">
        <v>5</v>
      </c>
      <c r="D267" s="40" t="s">
        <v>0</v>
      </c>
      <c r="E267" s="40">
        <v>7</v>
      </c>
      <c r="F267" s="40">
        <v>20</v>
      </c>
      <c r="G267">
        <v>46.621029999999998</v>
      </c>
    </row>
    <row r="268" spans="1:7" x14ac:dyDescent="0.25">
      <c r="A268" s="40">
        <v>3651</v>
      </c>
      <c r="B268" s="40">
        <v>16.27</v>
      </c>
      <c r="C268" s="40">
        <v>5</v>
      </c>
      <c r="D268" s="40" t="s">
        <v>0</v>
      </c>
      <c r="E268" s="40">
        <v>7</v>
      </c>
      <c r="F268" s="40">
        <v>21</v>
      </c>
      <c r="G268">
        <v>56.01014</v>
      </c>
    </row>
    <row r="269" spans="1:7" x14ac:dyDescent="0.25">
      <c r="A269" s="58">
        <v>3651</v>
      </c>
      <c r="B269" s="58">
        <v>16.27</v>
      </c>
      <c r="C269" s="58">
        <v>5</v>
      </c>
      <c r="D269" s="40" t="s">
        <v>0</v>
      </c>
      <c r="E269" s="58">
        <v>7</v>
      </c>
      <c r="F269" s="58">
        <v>22</v>
      </c>
      <c r="G269">
        <v>49.685459999999999</v>
      </c>
    </row>
    <row r="270" spans="1:7" x14ac:dyDescent="0.25">
      <c r="A270" s="40">
        <v>3806</v>
      </c>
      <c r="B270" s="40">
        <v>16.77</v>
      </c>
      <c r="C270" s="40">
        <v>2</v>
      </c>
      <c r="D270" s="40" t="s">
        <v>0</v>
      </c>
      <c r="E270" s="40">
        <v>7</v>
      </c>
      <c r="F270" s="40">
        <v>1</v>
      </c>
      <c r="G270">
        <v>45.365189999999998</v>
      </c>
    </row>
    <row r="271" spans="1:7" x14ac:dyDescent="0.25">
      <c r="A271" s="40">
        <v>3806</v>
      </c>
      <c r="B271" s="40">
        <v>16.77</v>
      </c>
      <c r="C271" s="40">
        <v>2</v>
      </c>
      <c r="D271" s="40" t="s">
        <v>0</v>
      </c>
      <c r="E271" s="40">
        <v>7</v>
      </c>
      <c r="F271" s="40">
        <v>2</v>
      </c>
      <c r="G271">
        <v>42.421790000000001</v>
      </c>
    </row>
    <row r="272" spans="1:7" x14ac:dyDescent="0.25">
      <c r="A272" s="40">
        <v>3806</v>
      </c>
      <c r="B272" s="40">
        <v>16.77</v>
      </c>
      <c r="C272" s="40">
        <v>2</v>
      </c>
      <c r="D272" s="40" t="s">
        <v>0</v>
      </c>
      <c r="E272" s="40">
        <v>7</v>
      </c>
      <c r="F272" s="40">
        <v>3</v>
      </c>
      <c r="G272">
        <v>36.724640000000001</v>
      </c>
    </row>
    <row r="273" spans="1:7" x14ac:dyDescent="0.25">
      <c r="A273" s="40">
        <v>3806</v>
      </c>
      <c r="B273" s="40">
        <v>16.77</v>
      </c>
      <c r="C273" s="40">
        <v>2</v>
      </c>
      <c r="D273" s="40" t="s">
        <v>0</v>
      </c>
      <c r="E273" s="40">
        <v>7</v>
      </c>
      <c r="F273" s="40">
        <v>6</v>
      </c>
      <c r="G273">
        <v>41.343260000000001</v>
      </c>
    </row>
    <row r="274" spans="1:7" x14ac:dyDescent="0.25">
      <c r="A274" s="40">
        <v>3806</v>
      </c>
      <c r="B274" s="40">
        <v>16.77</v>
      </c>
      <c r="C274" s="40">
        <v>2</v>
      </c>
      <c r="D274" s="40" t="s">
        <v>0</v>
      </c>
      <c r="E274" s="40">
        <v>7</v>
      </c>
      <c r="F274" s="40">
        <v>8</v>
      </c>
      <c r="G274">
        <v>45.345140000000001</v>
      </c>
    </row>
    <row r="275" spans="1:7" x14ac:dyDescent="0.25">
      <c r="A275" s="40">
        <v>3806</v>
      </c>
      <c r="B275" s="40">
        <v>16.77</v>
      </c>
      <c r="C275" s="40">
        <v>2</v>
      </c>
      <c r="D275" s="40" t="s">
        <v>0</v>
      </c>
      <c r="E275" s="40">
        <v>7</v>
      </c>
      <c r="F275" s="40">
        <v>11</v>
      </c>
      <c r="G275">
        <v>49.467289999999998</v>
      </c>
    </row>
    <row r="276" spans="1:7" x14ac:dyDescent="0.25">
      <c r="A276" s="40">
        <v>3806</v>
      </c>
      <c r="B276" s="40">
        <v>16.77</v>
      </c>
      <c r="C276" s="40">
        <v>2</v>
      </c>
      <c r="D276" s="40" t="s">
        <v>0</v>
      </c>
      <c r="E276" s="40">
        <v>7</v>
      </c>
      <c r="F276" s="40">
        <v>13</v>
      </c>
      <c r="G276">
        <v>37.823979999999999</v>
      </c>
    </row>
    <row r="277" spans="1:7" x14ac:dyDescent="0.25">
      <c r="A277" s="40">
        <v>3806</v>
      </c>
      <c r="B277" s="40">
        <v>16.77</v>
      </c>
      <c r="C277" s="40">
        <v>2</v>
      </c>
      <c r="D277" s="40" t="s">
        <v>0</v>
      </c>
      <c r="E277" s="40">
        <v>7</v>
      </c>
      <c r="F277" s="40">
        <v>14</v>
      </c>
      <c r="G277">
        <v>46.80836</v>
      </c>
    </row>
    <row r="278" spans="1:7" x14ac:dyDescent="0.25">
      <c r="A278" s="40">
        <v>3806</v>
      </c>
      <c r="B278" s="40">
        <v>16.77</v>
      </c>
      <c r="C278" s="40">
        <v>2</v>
      </c>
      <c r="D278" s="40" t="s">
        <v>0</v>
      </c>
      <c r="E278" s="40">
        <v>7</v>
      </c>
      <c r="F278" s="40">
        <v>15</v>
      </c>
      <c r="G278">
        <v>50.134140000000002</v>
      </c>
    </row>
    <row r="279" spans="1:7" x14ac:dyDescent="0.25">
      <c r="A279" s="40">
        <v>3806</v>
      </c>
      <c r="B279" s="40">
        <v>16.77</v>
      </c>
      <c r="C279" s="40">
        <v>2</v>
      </c>
      <c r="D279" s="40" t="s">
        <v>0</v>
      </c>
      <c r="E279" s="40">
        <v>7</v>
      </c>
      <c r="F279" s="40">
        <v>16</v>
      </c>
      <c r="G279">
        <v>34.840490000000003</v>
      </c>
    </row>
    <row r="280" spans="1:7" x14ac:dyDescent="0.25">
      <c r="A280" s="40">
        <v>3806</v>
      </c>
      <c r="B280" s="40">
        <v>16.77</v>
      </c>
      <c r="C280" s="40">
        <v>2</v>
      </c>
      <c r="D280" s="40" t="s">
        <v>0</v>
      </c>
      <c r="E280" s="40">
        <v>7</v>
      </c>
      <c r="F280" s="40">
        <v>17</v>
      </c>
      <c r="G280">
        <v>39.101410000000001</v>
      </c>
    </row>
    <row r="281" spans="1:7" x14ac:dyDescent="0.25">
      <c r="A281" s="40">
        <v>3806</v>
      </c>
      <c r="B281" s="40">
        <v>16.77</v>
      </c>
      <c r="C281" s="40">
        <v>2</v>
      </c>
      <c r="D281" s="40" t="s">
        <v>0</v>
      </c>
      <c r="E281" s="40">
        <v>7</v>
      </c>
      <c r="F281" s="40">
        <v>18</v>
      </c>
      <c r="G281">
        <v>42.455710000000003</v>
      </c>
    </row>
    <row r="282" spans="1:7" x14ac:dyDescent="0.25">
      <c r="A282" s="40">
        <v>3806</v>
      </c>
      <c r="B282" s="40">
        <v>16.77</v>
      </c>
      <c r="C282" s="40">
        <v>2</v>
      </c>
      <c r="D282" s="40" t="s">
        <v>0</v>
      </c>
      <c r="E282" s="40">
        <v>7</v>
      </c>
      <c r="F282" s="40">
        <v>19</v>
      </c>
      <c r="G282">
        <v>38.019799999999996</v>
      </c>
    </row>
    <row r="283" spans="1:7" x14ac:dyDescent="0.25">
      <c r="A283" s="40">
        <v>3806</v>
      </c>
      <c r="B283" s="40">
        <v>16.77</v>
      </c>
      <c r="C283" s="40">
        <v>2</v>
      </c>
      <c r="D283" s="40" t="s">
        <v>0</v>
      </c>
      <c r="E283" s="40">
        <v>7</v>
      </c>
      <c r="F283" s="40">
        <v>20</v>
      </c>
      <c r="G283">
        <v>37.019129999999997</v>
      </c>
    </row>
    <row r="284" spans="1:7" x14ac:dyDescent="0.25">
      <c r="A284" s="40">
        <v>3806</v>
      </c>
      <c r="B284" s="40">
        <v>16.77</v>
      </c>
      <c r="C284" s="40">
        <v>2</v>
      </c>
      <c r="D284" s="40" t="s">
        <v>0</v>
      </c>
      <c r="E284" s="40">
        <v>7</v>
      </c>
      <c r="F284" s="40">
        <v>21</v>
      </c>
      <c r="G284">
        <v>44.175649999999997</v>
      </c>
    </row>
    <row r="285" spans="1:7" x14ac:dyDescent="0.25">
      <c r="A285" s="40">
        <v>3806</v>
      </c>
      <c r="B285" s="40">
        <v>16.77</v>
      </c>
      <c r="C285" s="40">
        <v>2</v>
      </c>
      <c r="D285" s="40" t="s">
        <v>0</v>
      </c>
      <c r="E285" s="40">
        <v>7</v>
      </c>
      <c r="F285" s="40">
        <v>22</v>
      </c>
      <c r="G285">
        <v>32.115270000000002</v>
      </c>
    </row>
    <row r="286" spans="1:7" x14ac:dyDescent="0.25">
      <c r="A286" s="40">
        <v>3806</v>
      </c>
      <c r="B286" s="40">
        <v>16.77</v>
      </c>
      <c r="C286" s="40">
        <v>2</v>
      </c>
      <c r="D286" s="40" t="s">
        <v>0</v>
      </c>
      <c r="E286" s="40">
        <v>7</v>
      </c>
      <c r="F286" s="40">
        <v>23</v>
      </c>
      <c r="G286">
        <v>29.583539999999999</v>
      </c>
    </row>
    <row r="287" spans="1:7" x14ac:dyDescent="0.25">
      <c r="A287" s="40">
        <v>3806</v>
      </c>
      <c r="B287" s="40">
        <v>16.77</v>
      </c>
      <c r="C287" s="40">
        <v>2</v>
      </c>
      <c r="D287" s="40" t="s">
        <v>0</v>
      </c>
      <c r="E287" s="40">
        <v>7</v>
      </c>
      <c r="F287" s="40">
        <v>24</v>
      </c>
      <c r="G287">
        <v>29.120989999999999</v>
      </c>
    </row>
    <row r="288" spans="1:7" x14ac:dyDescent="0.25">
      <c r="A288" s="40">
        <v>3806</v>
      </c>
      <c r="B288" s="40">
        <v>16.77</v>
      </c>
      <c r="C288" s="40">
        <v>2</v>
      </c>
      <c r="D288" s="40" t="s">
        <v>0</v>
      </c>
      <c r="E288" s="40">
        <v>7</v>
      </c>
      <c r="F288" s="40">
        <v>25</v>
      </c>
      <c r="G288">
        <v>32.119120000000002</v>
      </c>
    </row>
    <row r="289" spans="1:7" x14ac:dyDescent="0.25">
      <c r="A289" s="40">
        <v>3806</v>
      </c>
      <c r="B289" s="40">
        <v>16.77</v>
      </c>
      <c r="C289" s="40">
        <v>2</v>
      </c>
      <c r="D289" s="40" t="s">
        <v>0</v>
      </c>
      <c r="E289" s="40">
        <v>7</v>
      </c>
      <c r="F289" s="40">
        <v>26</v>
      </c>
      <c r="G289">
        <v>33.675620000000002</v>
      </c>
    </row>
    <row r="290" spans="1:7" x14ac:dyDescent="0.25">
      <c r="A290" s="58">
        <v>3806</v>
      </c>
      <c r="B290" s="58">
        <v>16.77</v>
      </c>
      <c r="C290" s="58">
        <v>2</v>
      </c>
      <c r="D290" s="40" t="s">
        <v>0</v>
      </c>
      <c r="E290" s="58">
        <v>7</v>
      </c>
      <c r="F290" s="58">
        <v>27</v>
      </c>
      <c r="G290">
        <v>31.43994</v>
      </c>
    </row>
    <row r="291" spans="1:7" x14ac:dyDescent="0.25">
      <c r="A291" s="40">
        <v>3831</v>
      </c>
      <c r="B291" s="40">
        <v>16.57</v>
      </c>
      <c r="C291" s="40">
        <v>5</v>
      </c>
      <c r="D291" s="40" t="s">
        <v>0</v>
      </c>
      <c r="E291" s="40">
        <v>7</v>
      </c>
      <c r="F291" s="40">
        <v>1</v>
      </c>
      <c r="G291">
        <v>30.883330000000001</v>
      </c>
    </row>
    <row r="292" spans="1:7" x14ac:dyDescent="0.25">
      <c r="A292" s="40">
        <v>3831</v>
      </c>
      <c r="B292" s="40">
        <v>16.57</v>
      </c>
      <c r="C292" s="40">
        <v>5</v>
      </c>
      <c r="D292" s="40" t="s">
        <v>0</v>
      </c>
      <c r="E292" s="40">
        <v>7</v>
      </c>
      <c r="F292" s="40">
        <v>2</v>
      </c>
      <c r="G292">
        <v>27.93993</v>
      </c>
    </row>
    <row r="293" spans="1:7" x14ac:dyDescent="0.25">
      <c r="A293" s="40">
        <v>3831</v>
      </c>
      <c r="B293" s="40">
        <v>16.57</v>
      </c>
      <c r="C293" s="40">
        <v>5</v>
      </c>
      <c r="D293" s="40" t="s">
        <v>0</v>
      </c>
      <c r="E293" s="40">
        <v>7</v>
      </c>
      <c r="F293" s="40">
        <v>3</v>
      </c>
      <c r="G293">
        <v>32.276389999999999</v>
      </c>
    </row>
    <row r="294" spans="1:7" x14ac:dyDescent="0.25">
      <c r="A294" s="40">
        <v>3831</v>
      </c>
      <c r="B294" s="40">
        <v>16.57</v>
      </c>
      <c r="C294" s="40">
        <v>5</v>
      </c>
      <c r="D294" s="40" t="s">
        <v>0</v>
      </c>
      <c r="E294" s="40">
        <v>7</v>
      </c>
      <c r="F294" s="40">
        <v>4</v>
      </c>
      <c r="G294">
        <v>32.803710000000002</v>
      </c>
    </row>
    <row r="295" spans="1:7" x14ac:dyDescent="0.25">
      <c r="A295" s="40">
        <v>3831</v>
      </c>
      <c r="B295" s="40">
        <v>16.57</v>
      </c>
      <c r="C295" s="40">
        <v>5</v>
      </c>
      <c r="D295" s="40" t="s">
        <v>0</v>
      </c>
      <c r="E295" s="40">
        <v>7</v>
      </c>
      <c r="F295" s="40">
        <v>5</v>
      </c>
      <c r="G295">
        <v>32.6873</v>
      </c>
    </row>
    <row r="296" spans="1:7" x14ac:dyDescent="0.25">
      <c r="A296" s="40">
        <v>3831</v>
      </c>
      <c r="B296" s="40">
        <v>16.57</v>
      </c>
      <c r="C296" s="40">
        <v>5</v>
      </c>
      <c r="D296" s="40" t="s">
        <v>0</v>
      </c>
      <c r="E296" s="40">
        <v>7</v>
      </c>
      <c r="F296" s="40">
        <v>6</v>
      </c>
      <c r="G296">
        <v>29.462510000000002</v>
      </c>
    </row>
    <row r="297" spans="1:7" x14ac:dyDescent="0.25">
      <c r="A297" s="40">
        <v>3831</v>
      </c>
      <c r="B297" s="40">
        <v>16.57</v>
      </c>
      <c r="C297" s="40">
        <v>5</v>
      </c>
      <c r="D297" s="40" t="s">
        <v>0</v>
      </c>
      <c r="E297" s="40">
        <v>7</v>
      </c>
      <c r="F297" s="40">
        <v>7</v>
      </c>
      <c r="G297">
        <v>30.85943</v>
      </c>
    </row>
    <row r="298" spans="1:7" x14ac:dyDescent="0.25">
      <c r="A298" s="40">
        <v>3831</v>
      </c>
      <c r="B298" s="40">
        <v>16.57</v>
      </c>
      <c r="C298" s="40">
        <v>5</v>
      </c>
      <c r="D298" s="40" t="s">
        <v>0</v>
      </c>
      <c r="E298" s="40">
        <v>7</v>
      </c>
      <c r="F298" s="40">
        <v>8</v>
      </c>
      <c r="G298">
        <v>24.893229999999999</v>
      </c>
    </row>
    <row r="299" spans="1:7" x14ac:dyDescent="0.25">
      <c r="A299" s="40">
        <v>3831</v>
      </c>
      <c r="B299" s="40">
        <v>16.57</v>
      </c>
      <c r="C299" s="40">
        <v>5</v>
      </c>
      <c r="D299" s="40" t="s">
        <v>0</v>
      </c>
      <c r="E299" s="40">
        <v>7</v>
      </c>
      <c r="F299" s="40">
        <v>9</v>
      </c>
      <c r="G299">
        <v>24.921749999999999</v>
      </c>
    </row>
    <row r="300" spans="1:7" x14ac:dyDescent="0.25">
      <c r="A300" s="40">
        <v>3831</v>
      </c>
      <c r="B300" s="40">
        <v>16.57</v>
      </c>
      <c r="C300" s="40">
        <v>5</v>
      </c>
      <c r="D300" s="40" t="s">
        <v>0</v>
      </c>
      <c r="E300" s="40">
        <v>7</v>
      </c>
      <c r="F300" s="40">
        <v>10</v>
      </c>
      <c r="G300">
        <v>28.255240000000001</v>
      </c>
    </row>
    <row r="301" spans="1:7" x14ac:dyDescent="0.25">
      <c r="A301" s="40">
        <v>3831</v>
      </c>
      <c r="B301" s="40">
        <v>16.57</v>
      </c>
      <c r="C301" s="40">
        <v>5</v>
      </c>
      <c r="D301" s="40" t="s">
        <v>0</v>
      </c>
      <c r="E301" s="40">
        <v>7</v>
      </c>
      <c r="F301" s="40">
        <v>11</v>
      </c>
      <c r="G301">
        <v>24.966460000000001</v>
      </c>
    </row>
    <row r="302" spans="1:7" x14ac:dyDescent="0.25">
      <c r="A302" s="40">
        <v>3831</v>
      </c>
      <c r="B302" s="40">
        <v>16.57</v>
      </c>
      <c r="C302" s="40">
        <v>5</v>
      </c>
      <c r="D302" s="40" t="s">
        <v>0</v>
      </c>
      <c r="E302" s="40">
        <v>7</v>
      </c>
      <c r="F302" s="40">
        <v>12</v>
      </c>
      <c r="G302">
        <v>28.646100000000001</v>
      </c>
    </row>
    <row r="303" spans="1:7" x14ac:dyDescent="0.25">
      <c r="A303" s="40">
        <v>3831</v>
      </c>
      <c r="B303" s="40">
        <v>16.57</v>
      </c>
      <c r="C303" s="40">
        <v>5</v>
      </c>
      <c r="D303" s="40" t="s">
        <v>0</v>
      </c>
      <c r="E303" s="40">
        <v>7</v>
      </c>
      <c r="F303" s="40">
        <v>13</v>
      </c>
      <c r="G303">
        <v>36.706910000000001</v>
      </c>
    </row>
    <row r="304" spans="1:7" x14ac:dyDescent="0.25">
      <c r="A304" s="40">
        <v>3831</v>
      </c>
      <c r="B304" s="40">
        <v>16.57</v>
      </c>
      <c r="C304" s="40">
        <v>5</v>
      </c>
      <c r="D304" s="40" t="s">
        <v>0</v>
      </c>
      <c r="E304" s="40">
        <v>7</v>
      </c>
      <c r="F304" s="40">
        <v>14</v>
      </c>
      <c r="G304">
        <v>34.296219999999998</v>
      </c>
    </row>
    <row r="305" spans="1:7" x14ac:dyDescent="0.25">
      <c r="A305" s="40">
        <v>3831</v>
      </c>
      <c r="B305" s="40">
        <v>16.57</v>
      </c>
      <c r="C305" s="40">
        <v>5</v>
      </c>
      <c r="D305" s="40" t="s">
        <v>0</v>
      </c>
      <c r="E305" s="40">
        <v>7</v>
      </c>
      <c r="F305" s="40">
        <v>15</v>
      </c>
      <c r="G305">
        <v>36.391599999999997</v>
      </c>
    </row>
    <row r="306" spans="1:7" x14ac:dyDescent="0.25">
      <c r="A306" s="40">
        <v>3831</v>
      </c>
      <c r="B306" s="40">
        <v>16.57</v>
      </c>
      <c r="C306" s="40">
        <v>5</v>
      </c>
      <c r="D306" s="40" t="s">
        <v>0</v>
      </c>
      <c r="E306" s="40">
        <v>7</v>
      </c>
      <c r="F306" s="40">
        <v>16</v>
      </c>
      <c r="G306">
        <v>30.58652</v>
      </c>
    </row>
    <row r="307" spans="1:7" x14ac:dyDescent="0.25">
      <c r="A307" s="40">
        <v>3831</v>
      </c>
      <c r="B307" s="40">
        <v>16.57</v>
      </c>
      <c r="C307" s="40">
        <v>5</v>
      </c>
      <c r="D307" s="40" t="s">
        <v>0</v>
      </c>
      <c r="E307" s="40">
        <v>7</v>
      </c>
      <c r="F307" s="40">
        <v>17</v>
      </c>
      <c r="G307">
        <v>36.26285</v>
      </c>
    </row>
    <row r="308" spans="1:7" x14ac:dyDescent="0.25">
      <c r="A308" s="40">
        <v>3831</v>
      </c>
      <c r="B308" s="40">
        <v>16.57</v>
      </c>
      <c r="C308" s="40">
        <v>5</v>
      </c>
      <c r="D308" s="40" t="s">
        <v>0</v>
      </c>
      <c r="E308" s="40">
        <v>7</v>
      </c>
      <c r="F308" s="40">
        <v>18</v>
      </c>
      <c r="G308">
        <v>34.916820000000001</v>
      </c>
    </row>
    <row r="309" spans="1:7" x14ac:dyDescent="0.25">
      <c r="A309" s="40">
        <v>3831</v>
      </c>
      <c r="B309" s="40">
        <v>16.57</v>
      </c>
      <c r="C309" s="40">
        <v>5</v>
      </c>
      <c r="D309" s="40" t="s">
        <v>0</v>
      </c>
      <c r="E309" s="40">
        <v>7</v>
      </c>
      <c r="F309" s="40">
        <v>20</v>
      </c>
      <c r="G309">
        <v>27.923739999999999</v>
      </c>
    </row>
    <row r="310" spans="1:7" x14ac:dyDescent="0.25">
      <c r="A310" s="40">
        <v>3831</v>
      </c>
      <c r="B310" s="40">
        <v>16.57</v>
      </c>
      <c r="C310" s="40">
        <v>5</v>
      </c>
      <c r="D310" s="40" t="s">
        <v>0</v>
      </c>
      <c r="E310" s="40">
        <v>7</v>
      </c>
      <c r="F310" s="40">
        <v>21</v>
      </c>
      <c r="G310">
        <v>25.78519</v>
      </c>
    </row>
    <row r="311" spans="1:7" x14ac:dyDescent="0.25">
      <c r="A311" s="40">
        <v>3831</v>
      </c>
      <c r="B311" s="40">
        <v>16.57</v>
      </c>
      <c r="C311" s="40">
        <v>5</v>
      </c>
      <c r="D311" s="40" t="s">
        <v>0</v>
      </c>
      <c r="E311" s="40">
        <v>7</v>
      </c>
      <c r="F311" s="40">
        <v>22</v>
      </c>
      <c r="G311">
        <v>29.046980000000001</v>
      </c>
    </row>
    <row r="312" spans="1:7" x14ac:dyDescent="0.25">
      <c r="A312" s="58">
        <v>3831</v>
      </c>
      <c r="B312" s="58">
        <v>16.57</v>
      </c>
      <c r="C312" s="58">
        <v>5</v>
      </c>
      <c r="D312" s="40" t="s">
        <v>0</v>
      </c>
      <c r="E312" s="58">
        <v>7</v>
      </c>
      <c r="F312" s="58">
        <v>25</v>
      </c>
      <c r="G312">
        <v>32.964829999999999</v>
      </c>
    </row>
    <row r="313" spans="1:7" x14ac:dyDescent="0.25">
      <c r="A313" s="40">
        <v>3883</v>
      </c>
      <c r="B313" s="40">
        <v>16.21</v>
      </c>
      <c r="C313" s="40">
        <v>5</v>
      </c>
      <c r="D313" s="40" t="s">
        <v>0</v>
      </c>
      <c r="E313" s="40">
        <v>7</v>
      </c>
      <c r="F313" s="40">
        <v>1</v>
      </c>
      <c r="G313">
        <v>27.43497</v>
      </c>
    </row>
    <row r="314" spans="1:7" x14ac:dyDescent="0.25">
      <c r="A314" s="40">
        <v>3883</v>
      </c>
      <c r="B314" s="40">
        <v>16.21</v>
      </c>
      <c r="C314" s="40">
        <v>5</v>
      </c>
      <c r="D314" s="40" t="s">
        <v>0</v>
      </c>
      <c r="E314" s="40">
        <v>7</v>
      </c>
      <c r="F314" s="40">
        <v>2</v>
      </c>
      <c r="G314">
        <v>24.606439999999999</v>
      </c>
    </row>
    <row r="315" spans="1:7" x14ac:dyDescent="0.25">
      <c r="A315" s="40">
        <v>3883</v>
      </c>
      <c r="B315" s="40">
        <v>16.21</v>
      </c>
      <c r="C315" s="40">
        <v>5</v>
      </c>
      <c r="D315" s="40" t="s">
        <v>0</v>
      </c>
      <c r="E315" s="40">
        <v>7</v>
      </c>
      <c r="F315" s="40">
        <v>3</v>
      </c>
      <c r="G315">
        <v>24.578690000000002</v>
      </c>
    </row>
    <row r="316" spans="1:7" x14ac:dyDescent="0.25">
      <c r="A316" s="40">
        <v>3883</v>
      </c>
      <c r="B316" s="40">
        <v>16.21</v>
      </c>
      <c r="C316" s="40">
        <v>5</v>
      </c>
      <c r="D316" s="40" t="s">
        <v>0</v>
      </c>
      <c r="E316" s="40">
        <v>7</v>
      </c>
      <c r="F316" s="40">
        <v>4</v>
      </c>
      <c r="G316">
        <v>31.553260000000002</v>
      </c>
    </row>
    <row r="317" spans="1:7" x14ac:dyDescent="0.25">
      <c r="A317" s="40">
        <v>3883</v>
      </c>
      <c r="B317" s="40">
        <v>16.21</v>
      </c>
      <c r="C317" s="40">
        <v>5</v>
      </c>
      <c r="D317" s="40" t="s">
        <v>0</v>
      </c>
      <c r="E317" s="40">
        <v>7</v>
      </c>
      <c r="F317" s="40">
        <v>5</v>
      </c>
      <c r="G317">
        <v>24.819990000000001</v>
      </c>
    </row>
    <row r="318" spans="1:7" x14ac:dyDescent="0.25">
      <c r="A318" s="40">
        <v>3883</v>
      </c>
      <c r="B318" s="40">
        <v>16.21</v>
      </c>
      <c r="C318" s="40">
        <v>5</v>
      </c>
      <c r="D318" s="40" t="s">
        <v>0</v>
      </c>
      <c r="E318" s="40">
        <v>7</v>
      </c>
      <c r="F318" s="40">
        <v>6</v>
      </c>
      <c r="G318">
        <v>25.400500000000001</v>
      </c>
    </row>
    <row r="319" spans="1:7" x14ac:dyDescent="0.25">
      <c r="A319" s="40">
        <v>3883</v>
      </c>
      <c r="B319" s="40">
        <v>16.21</v>
      </c>
      <c r="C319" s="40">
        <v>5</v>
      </c>
      <c r="D319" s="40" t="s">
        <v>0</v>
      </c>
      <c r="E319" s="40">
        <v>7</v>
      </c>
      <c r="F319" s="40">
        <v>8</v>
      </c>
      <c r="G319">
        <v>28.440259999999999</v>
      </c>
    </row>
    <row r="320" spans="1:7" x14ac:dyDescent="0.25">
      <c r="A320" s="40">
        <v>3883</v>
      </c>
      <c r="B320" s="40">
        <v>16.21</v>
      </c>
      <c r="C320" s="40">
        <v>5</v>
      </c>
      <c r="D320" s="40" t="s">
        <v>0</v>
      </c>
      <c r="E320" s="40">
        <v>7</v>
      </c>
      <c r="F320" s="40">
        <v>9</v>
      </c>
      <c r="G320">
        <v>25.190799999999999</v>
      </c>
    </row>
    <row r="321" spans="1:7" x14ac:dyDescent="0.25">
      <c r="A321" s="40">
        <v>3883</v>
      </c>
      <c r="B321" s="40">
        <v>16.21</v>
      </c>
      <c r="C321" s="40">
        <v>5</v>
      </c>
      <c r="D321" s="40" t="s">
        <v>0</v>
      </c>
      <c r="E321" s="40">
        <v>7</v>
      </c>
      <c r="F321" s="40">
        <v>10</v>
      </c>
      <c r="G321">
        <v>26.572299999999998</v>
      </c>
    </row>
    <row r="322" spans="1:7" x14ac:dyDescent="0.25">
      <c r="A322" s="40">
        <v>3883</v>
      </c>
      <c r="B322" s="40">
        <v>16.21</v>
      </c>
      <c r="C322" s="40">
        <v>5</v>
      </c>
      <c r="D322" s="40" t="s">
        <v>0</v>
      </c>
      <c r="E322" s="40">
        <v>7</v>
      </c>
      <c r="F322" s="40">
        <v>13</v>
      </c>
      <c r="G322">
        <v>27.912949999999999</v>
      </c>
    </row>
    <row r="323" spans="1:7" x14ac:dyDescent="0.25">
      <c r="A323" s="40">
        <v>3883</v>
      </c>
      <c r="B323" s="40">
        <v>16.21</v>
      </c>
      <c r="C323" s="40">
        <v>5</v>
      </c>
      <c r="D323" s="40" t="s">
        <v>0</v>
      </c>
      <c r="E323" s="40">
        <v>7</v>
      </c>
      <c r="F323" s="40">
        <v>15</v>
      </c>
      <c r="G323">
        <v>27.697859999999999</v>
      </c>
    </row>
    <row r="324" spans="1:7" x14ac:dyDescent="0.25">
      <c r="A324" s="40">
        <v>3883</v>
      </c>
      <c r="B324" s="40">
        <v>16.21</v>
      </c>
      <c r="C324" s="40">
        <v>5</v>
      </c>
      <c r="D324" s="40" t="s">
        <v>0</v>
      </c>
      <c r="E324" s="40">
        <v>7</v>
      </c>
      <c r="F324" s="40">
        <v>16</v>
      </c>
      <c r="G324">
        <v>30.864049999999999</v>
      </c>
    </row>
    <row r="325" spans="1:7" x14ac:dyDescent="0.25">
      <c r="A325" s="40">
        <v>3883</v>
      </c>
      <c r="B325" s="40">
        <v>16.21</v>
      </c>
      <c r="C325" s="40">
        <v>5</v>
      </c>
      <c r="D325" s="40" t="s">
        <v>0</v>
      </c>
      <c r="E325" s="40">
        <v>7</v>
      </c>
      <c r="F325" s="40">
        <v>17</v>
      </c>
      <c r="G325">
        <v>30.19952</v>
      </c>
    </row>
    <row r="326" spans="1:7" x14ac:dyDescent="0.25">
      <c r="A326" s="40">
        <v>3883</v>
      </c>
      <c r="B326" s="40">
        <v>16.21</v>
      </c>
      <c r="C326" s="40">
        <v>5</v>
      </c>
      <c r="D326" s="40" t="s">
        <v>0</v>
      </c>
      <c r="E326" s="40">
        <v>7</v>
      </c>
      <c r="F326" s="40">
        <v>18</v>
      </c>
      <c r="G326">
        <v>25.85303</v>
      </c>
    </row>
    <row r="327" spans="1:7" x14ac:dyDescent="0.25">
      <c r="A327" s="40">
        <v>3883</v>
      </c>
      <c r="B327" s="40">
        <v>16.21</v>
      </c>
      <c r="C327" s="40">
        <v>5</v>
      </c>
      <c r="D327" s="40" t="s">
        <v>0</v>
      </c>
      <c r="E327" s="40">
        <v>7</v>
      </c>
      <c r="F327" s="40">
        <v>19</v>
      </c>
      <c r="G327">
        <v>23.926480000000002</v>
      </c>
    </row>
    <row r="328" spans="1:7" x14ac:dyDescent="0.25">
      <c r="A328" s="40">
        <v>3883</v>
      </c>
      <c r="B328" s="40">
        <v>16.21</v>
      </c>
      <c r="C328" s="40">
        <v>5</v>
      </c>
      <c r="D328" s="40" t="s">
        <v>0</v>
      </c>
      <c r="E328" s="40">
        <v>7</v>
      </c>
      <c r="F328" s="40">
        <v>20</v>
      </c>
      <c r="G328">
        <v>30.47242</v>
      </c>
    </row>
    <row r="329" spans="1:7" x14ac:dyDescent="0.25">
      <c r="A329" s="40">
        <v>3883</v>
      </c>
      <c r="B329" s="40">
        <v>16.21</v>
      </c>
      <c r="C329" s="40">
        <v>5</v>
      </c>
      <c r="D329" s="40" t="s">
        <v>0</v>
      </c>
      <c r="E329" s="40">
        <v>7</v>
      </c>
      <c r="F329" s="40">
        <v>21</v>
      </c>
      <c r="G329">
        <v>25.323399999999999</v>
      </c>
    </row>
    <row r="330" spans="1:7" x14ac:dyDescent="0.25">
      <c r="A330" s="40">
        <v>3883</v>
      </c>
      <c r="B330" s="40">
        <v>16.21</v>
      </c>
      <c r="C330" s="40">
        <v>5</v>
      </c>
      <c r="D330" s="40" t="s">
        <v>0</v>
      </c>
      <c r="E330" s="40">
        <v>7</v>
      </c>
      <c r="F330" s="40">
        <v>22</v>
      </c>
      <c r="G330">
        <v>30.07694</v>
      </c>
    </row>
    <row r="331" spans="1:7" x14ac:dyDescent="0.25">
      <c r="A331" s="40">
        <v>3883</v>
      </c>
      <c r="B331" s="40">
        <v>16.21</v>
      </c>
      <c r="C331" s="40">
        <v>5</v>
      </c>
      <c r="D331" s="40" t="s">
        <v>0</v>
      </c>
      <c r="E331" s="40">
        <v>7</v>
      </c>
      <c r="F331" s="40">
        <v>23</v>
      </c>
      <c r="G331">
        <v>26.345649999999999</v>
      </c>
    </row>
    <row r="332" spans="1:7" x14ac:dyDescent="0.25">
      <c r="A332" s="40">
        <v>3883</v>
      </c>
      <c r="B332" s="40">
        <v>16.21</v>
      </c>
      <c r="C332" s="40">
        <v>5</v>
      </c>
      <c r="D332" s="40" t="s">
        <v>0</v>
      </c>
      <c r="E332" s="40">
        <v>7</v>
      </c>
      <c r="F332" s="40">
        <v>24</v>
      </c>
      <c r="G332">
        <v>25.573180000000001</v>
      </c>
    </row>
    <row r="333" spans="1:7" x14ac:dyDescent="0.25">
      <c r="A333" s="40">
        <v>3883</v>
      </c>
      <c r="B333" s="40">
        <v>16.21</v>
      </c>
      <c r="C333" s="40">
        <v>5</v>
      </c>
      <c r="D333" s="40" t="s">
        <v>0</v>
      </c>
      <c r="E333" s="40">
        <v>7</v>
      </c>
      <c r="F333" s="40">
        <v>27</v>
      </c>
      <c r="G333">
        <v>30.987400000000001</v>
      </c>
    </row>
    <row r="334" spans="1:7" x14ac:dyDescent="0.25">
      <c r="A334" s="58">
        <v>3883</v>
      </c>
      <c r="B334" s="58">
        <v>16.21</v>
      </c>
      <c r="C334" s="58">
        <v>5</v>
      </c>
      <c r="D334" s="40" t="s">
        <v>0</v>
      </c>
      <c r="E334" s="58">
        <v>7</v>
      </c>
      <c r="F334" s="58">
        <v>30</v>
      </c>
      <c r="G334">
        <v>27.30237</v>
      </c>
    </row>
    <row r="335" spans="1:7" x14ac:dyDescent="0.25">
      <c r="A335" s="40">
        <v>3912</v>
      </c>
      <c r="B335" s="40">
        <v>14.86</v>
      </c>
      <c r="C335" s="40">
        <v>2</v>
      </c>
      <c r="D335" s="40" t="s">
        <v>0</v>
      </c>
      <c r="E335" s="40">
        <v>7</v>
      </c>
      <c r="F335" s="40">
        <v>1</v>
      </c>
      <c r="G335">
        <v>37.441600000000001</v>
      </c>
    </row>
    <row r="336" spans="1:7" x14ac:dyDescent="0.25">
      <c r="A336" s="40">
        <v>3912</v>
      </c>
      <c r="B336" s="40">
        <v>14.86</v>
      </c>
      <c r="C336" s="40">
        <v>2</v>
      </c>
      <c r="D336" s="40" t="s">
        <v>0</v>
      </c>
      <c r="E336" s="40">
        <v>7</v>
      </c>
      <c r="F336" s="40">
        <v>2</v>
      </c>
      <c r="G336">
        <v>43.609789999999997</v>
      </c>
    </row>
    <row r="337" spans="1:7" x14ac:dyDescent="0.25">
      <c r="A337" s="40">
        <v>3912</v>
      </c>
      <c r="B337" s="40">
        <v>14.86</v>
      </c>
      <c r="C337" s="40">
        <v>2</v>
      </c>
      <c r="D337" s="40" t="s">
        <v>0</v>
      </c>
      <c r="E337" s="40">
        <v>7</v>
      </c>
      <c r="F337" s="40">
        <v>3</v>
      </c>
      <c r="G337">
        <v>37.438519999999997</v>
      </c>
    </row>
    <row r="338" spans="1:7" x14ac:dyDescent="0.25">
      <c r="A338" s="40">
        <v>3912</v>
      </c>
      <c r="B338" s="40">
        <v>14.86</v>
      </c>
      <c r="C338" s="40">
        <v>2</v>
      </c>
      <c r="D338" s="40" t="s">
        <v>0</v>
      </c>
      <c r="E338" s="40">
        <v>7</v>
      </c>
      <c r="F338" s="40">
        <v>4</v>
      </c>
      <c r="G338">
        <v>45.564860000000003</v>
      </c>
    </row>
    <row r="339" spans="1:7" x14ac:dyDescent="0.25">
      <c r="A339" s="40">
        <v>3912</v>
      </c>
      <c r="B339" s="40">
        <v>14.86</v>
      </c>
      <c r="C339" s="40">
        <v>2</v>
      </c>
      <c r="D339" s="40" t="s">
        <v>0</v>
      </c>
      <c r="E339" s="40">
        <v>7</v>
      </c>
      <c r="F339" s="40">
        <v>6</v>
      </c>
      <c r="G339">
        <v>38.899419999999999</v>
      </c>
    </row>
    <row r="340" spans="1:7" x14ac:dyDescent="0.25">
      <c r="A340" s="40">
        <v>3912</v>
      </c>
      <c r="B340" s="40">
        <v>14.86</v>
      </c>
      <c r="C340" s="40">
        <v>2</v>
      </c>
      <c r="D340" s="40" t="s">
        <v>0</v>
      </c>
      <c r="E340" s="40">
        <v>7</v>
      </c>
      <c r="F340" s="40">
        <v>7</v>
      </c>
      <c r="G340">
        <v>32.897759999999998</v>
      </c>
    </row>
    <row r="341" spans="1:7" x14ac:dyDescent="0.25">
      <c r="A341" s="40">
        <v>3912</v>
      </c>
      <c r="B341" s="40">
        <v>14.86</v>
      </c>
      <c r="C341" s="40">
        <v>2</v>
      </c>
      <c r="D341" s="40" t="s">
        <v>0</v>
      </c>
      <c r="E341" s="40">
        <v>7</v>
      </c>
      <c r="F341" s="40">
        <v>8</v>
      </c>
      <c r="G341">
        <v>39.116050000000001</v>
      </c>
    </row>
    <row r="342" spans="1:7" x14ac:dyDescent="0.25">
      <c r="A342" s="40">
        <v>3912</v>
      </c>
      <c r="B342" s="40">
        <v>14.86</v>
      </c>
      <c r="C342" s="40">
        <v>2</v>
      </c>
      <c r="D342" s="40" t="s">
        <v>0</v>
      </c>
      <c r="E342" s="40">
        <v>7</v>
      </c>
      <c r="F342" s="40">
        <v>9</v>
      </c>
      <c r="G342">
        <v>43.320689999999999</v>
      </c>
    </row>
    <row r="343" spans="1:7" x14ac:dyDescent="0.25">
      <c r="A343" s="40">
        <v>3912</v>
      </c>
      <c r="B343" s="40">
        <v>14.86</v>
      </c>
      <c r="C343" s="40">
        <v>2</v>
      </c>
      <c r="D343" s="40" t="s">
        <v>0</v>
      </c>
      <c r="E343" s="40">
        <v>7</v>
      </c>
      <c r="F343" s="40">
        <v>10</v>
      </c>
      <c r="G343">
        <v>37.413080000000001</v>
      </c>
    </row>
    <row r="344" spans="1:7" x14ac:dyDescent="0.25">
      <c r="A344" s="40">
        <v>3912</v>
      </c>
      <c r="B344" s="40">
        <v>14.86</v>
      </c>
      <c r="C344" s="40">
        <v>2</v>
      </c>
      <c r="D344" s="40" t="s">
        <v>0</v>
      </c>
      <c r="E344" s="40">
        <v>7</v>
      </c>
      <c r="F344" s="40">
        <v>11</v>
      </c>
      <c r="G344">
        <v>37.774639999999998</v>
      </c>
    </row>
    <row r="345" spans="1:7" x14ac:dyDescent="0.25">
      <c r="A345" s="40">
        <v>3912</v>
      </c>
      <c r="B345" s="40">
        <v>14.86</v>
      </c>
      <c r="C345" s="40">
        <v>2</v>
      </c>
      <c r="D345" s="40" t="s">
        <v>0</v>
      </c>
      <c r="E345" s="40">
        <v>7</v>
      </c>
      <c r="F345" s="40">
        <v>12</v>
      </c>
      <c r="G345">
        <v>32.597099999999998</v>
      </c>
    </row>
    <row r="346" spans="1:7" x14ac:dyDescent="0.25">
      <c r="A346" s="40">
        <v>3912</v>
      </c>
      <c r="B346" s="40">
        <v>14.86</v>
      </c>
      <c r="C346" s="40">
        <v>2</v>
      </c>
      <c r="D346" s="40" t="s">
        <v>0</v>
      </c>
      <c r="E346" s="40">
        <v>7</v>
      </c>
      <c r="F346" s="40">
        <v>13</v>
      </c>
      <c r="G346">
        <v>35.110320000000002</v>
      </c>
    </row>
    <row r="347" spans="1:7" x14ac:dyDescent="0.25">
      <c r="A347" s="40">
        <v>3912</v>
      </c>
      <c r="B347" s="40">
        <v>14.86</v>
      </c>
      <c r="C347" s="40">
        <v>2</v>
      </c>
      <c r="D347" s="40" t="s">
        <v>0</v>
      </c>
      <c r="E347" s="40">
        <v>7</v>
      </c>
      <c r="F347" s="40">
        <v>14</v>
      </c>
      <c r="G347">
        <v>36.021549999999998</v>
      </c>
    </row>
    <row r="348" spans="1:7" x14ac:dyDescent="0.25">
      <c r="A348" s="40">
        <v>3912</v>
      </c>
      <c r="B348" s="40">
        <v>14.86</v>
      </c>
      <c r="C348" s="40">
        <v>2</v>
      </c>
      <c r="D348" s="40" t="s">
        <v>0</v>
      </c>
      <c r="E348" s="40">
        <v>7</v>
      </c>
      <c r="F348" s="40">
        <v>15</v>
      </c>
      <c r="G348">
        <v>46.815300000000001</v>
      </c>
    </row>
    <row r="349" spans="1:7" x14ac:dyDescent="0.25">
      <c r="A349" s="40">
        <v>3912</v>
      </c>
      <c r="B349" s="40">
        <v>14.86</v>
      </c>
      <c r="C349" s="40">
        <v>2</v>
      </c>
      <c r="D349" s="40" t="s">
        <v>0</v>
      </c>
      <c r="E349" s="40">
        <v>7</v>
      </c>
      <c r="F349" s="40">
        <v>16</v>
      </c>
      <c r="G349">
        <v>55.707940000000001</v>
      </c>
    </row>
    <row r="350" spans="1:7" x14ac:dyDescent="0.25">
      <c r="A350" s="40">
        <v>3912</v>
      </c>
      <c r="B350" s="40">
        <v>14.86</v>
      </c>
      <c r="C350" s="40">
        <v>2</v>
      </c>
      <c r="D350" s="40" t="s">
        <v>0</v>
      </c>
      <c r="E350" s="40">
        <v>7</v>
      </c>
      <c r="F350" s="40">
        <v>18</v>
      </c>
      <c r="G350">
        <v>44.858690000000003</v>
      </c>
    </row>
    <row r="351" spans="1:7" x14ac:dyDescent="0.25">
      <c r="A351" s="40">
        <v>3912</v>
      </c>
      <c r="B351" s="40">
        <v>14.86</v>
      </c>
      <c r="C351" s="40">
        <v>2</v>
      </c>
      <c r="D351" s="40" t="s">
        <v>0</v>
      </c>
      <c r="E351" s="40">
        <v>7</v>
      </c>
      <c r="F351" s="40">
        <v>19</v>
      </c>
      <c r="G351">
        <v>56.871270000000003</v>
      </c>
    </row>
    <row r="352" spans="1:7" x14ac:dyDescent="0.25">
      <c r="A352" s="40">
        <v>3912</v>
      </c>
      <c r="B352" s="40">
        <v>14.86</v>
      </c>
      <c r="C352" s="40">
        <v>2</v>
      </c>
      <c r="D352" s="40" t="s">
        <v>0</v>
      </c>
      <c r="E352" s="40">
        <v>7</v>
      </c>
      <c r="F352" s="40">
        <v>21</v>
      </c>
      <c r="G352">
        <v>50.06861</v>
      </c>
    </row>
    <row r="353" spans="1:7" x14ac:dyDescent="0.25">
      <c r="A353" s="40">
        <v>3912</v>
      </c>
      <c r="B353" s="40">
        <v>14.86</v>
      </c>
      <c r="C353" s="40">
        <v>2</v>
      </c>
      <c r="D353" s="40" t="s">
        <v>0</v>
      </c>
      <c r="E353" s="40">
        <v>7</v>
      </c>
      <c r="F353" s="40">
        <v>22</v>
      </c>
      <c r="G353">
        <v>48.189860000000003</v>
      </c>
    </row>
    <row r="354" spans="1:7" x14ac:dyDescent="0.25">
      <c r="A354" s="58">
        <v>3912</v>
      </c>
      <c r="B354" s="58">
        <v>14.86</v>
      </c>
      <c r="C354" s="58">
        <v>2</v>
      </c>
      <c r="D354" s="40" t="s">
        <v>0</v>
      </c>
      <c r="E354" s="58">
        <v>7</v>
      </c>
      <c r="F354" s="58">
        <v>23</v>
      </c>
      <c r="G354">
        <v>52.876330000000003</v>
      </c>
    </row>
    <row r="355" spans="1:7" x14ac:dyDescent="0.25">
      <c r="A355" s="40">
        <v>4130</v>
      </c>
      <c r="B355" s="40">
        <v>17.420000000000002</v>
      </c>
      <c r="C355" s="40">
        <v>5</v>
      </c>
      <c r="D355" s="40" t="s">
        <v>0</v>
      </c>
      <c r="E355" s="40">
        <v>7</v>
      </c>
      <c r="F355" s="40">
        <v>1</v>
      </c>
      <c r="G355">
        <v>71.74091</v>
      </c>
    </row>
    <row r="356" spans="1:7" x14ac:dyDescent="0.25">
      <c r="A356" s="40">
        <v>4130</v>
      </c>
      <c r="B356" s="40">
        <v>17.420000000000002</v>
      </c>
      <c r="C356" s="40">
        <v>5</v>
      </c>
      <c r="D356" s="40" t="s">
        <v>0</v>
      </c>
      <c r="E356" s="40">
        <v>7</v>
      </c>
      <c r="F356" s="40">
        <v>2</v>
      </c>
      <c r="G356">
        <v>69.709509999999995</v>
      </c>
    </row>
    <row r="357" spans="1:7" x14ac:dyDescent="0.25">
      <c r="A357" s="40">
        <v>4130</v>
      </c>
      <c r="B357" s="40">
        <v>17.420000000000002</v>
      </c>
      <c r="C357" s="40">
        <v>5</v>
      </c>
      <c r="D357" s="40" t="s">
        <v>0</v>
      </c>
      <c r="E357" s="40">
        <v>7</v>
      </c>
      <c r="F357" s="40">
        <v>3</v>
      </c>
      <c r="G357">
        <v>62.36027</v>
      </c>
    </row>
    <row r="358" spans="1:7" x14ac:dyDescent="0.25">
      <c r="A358" s="40">
        <v>4130</v>
      </c>
      <c r="B358" s="40">
        <v>17.420000000000002</v>
      </c>
      <c r="C358" s="40">
        <v>5</v>
      </c>
      <c r="D358" s="40" t="s">
        <v>0</v>
      </c>
      <c r="E358" s="40">
        <v>7</v>
      </c>
      <c r="F358" s="40">
        <v>9</v>
      </c>
      <c r="G358">
        <v>65.909620000000004</v>
      </c>
    </row>
    <row r="359" spans="1:7" x14ac:dyDescent="0.25">
      <c r="A359" s="40">
        <v>4130</v>
      </c>
      <c r="B359" s="40">
        <v>17.420000000000002</v>
      </c>
      <c r="C359" s="40">
        <v>5</v>
      </c>
      <c r="D359" s="40" t="s">
        <v>0</v>
      </c>
      <c r="E359" s="40">
        <v>7</v>
      </c>
      <c r="F359" s="40">
        <v>12</v>
      </c>
      <c r="G359">
        <v>58.427</v>
      </c>
    </row>
    <row r="360" spans="1:7" x14ac:dyDescent="0.25">
      <c r="A360" s="40">
        <v>4130</v>
      </c>
      <c r="B360" s="40">
        <v>17.420000000000002</v>
      </c>
      <c r="C360" s="40">
        <v>5</v>
      </c>
      <c r="D360" s="40" t="s">
        <v>0</v>
      </c>
      <c r="E360" s="40">
        <v>7</v>
      </c>
      <c r="F360" s="40">
        <v>13</v>
      </c>
      <c r="G360">
        <v>52.288879999999999</v>
      </c>
    </row>
    <row r="361" spans="1:7" x14ac:dyDescent="0.25">
      <c r="A361" s="40">
        <v>4130</v>
      </c>
      <c r="B361" s="40">
        <v>17.420000000000002</v>
      </c>
      <c r="C361" s="40">
        <v>5</v>
      </c>
      <c r="D361" s="40" t="s">
        <v>0</v>
      </c>
      <c r="E361" s="40">
        <v>7</v>
      </c>
      <c r="F361" s="40">
        <v>14</v>
      </c>
      <c r="G361">
        <v>62.323259999999998</v>
      </c>
    </row>
    <row r="362" spans="1:7" x14ac:dyDescent="0.25">
      <c r="A362" s="40">
        <v>4130</v>
      </c>
      <c r="B362" s="40">
        <v>17.420000000000002</v>
      </c>
      <c r="C362" s="40">
        <v>5</v>
      </c>
      <c r="D362" s="40" t="s">
        <v>0</v>
      </c>
      <c r="E362" s="40">
        <v>7</v>
      </c>
      <c r="F362" s="40">
        <v>15</v>
      </c>
      <c r="G362">
        <v>69.452020000000005</v>
      </c>
    </row>
    <row r="363" spans="1:7" x14ac:dyDescent="0.25">
      <c r="A363" s="40">
        <v>4130</v>
      </c>
      <c r="B363" s="40">
        <v>17.420000000000002</v>
      </c>
      <c r="C363" s="40">
        <v>5</v>
      </c>
      <c r="D363" s="40" t="s">
        <v>0</v>
      </c>
      <c r="E363" s="40">
        <v>7</v>
      </c>
      <c r="F363" s="40">
        <v>16</v>
      </c>
      <c r="G363">
        <v>60.561700000000002</v>
      </c>
    </row>
    <row r="364" spans="1:7" x14ac:dyDescent="0.25">
      <c r="A364" s="40">
        <v>4130</v>
      </c>
      <c r="B364" s="40">
        <v>17.420000000000002</v>
      </c>
      <c r="C364" s="40">
        <v>5</v>
      </c>
      <c r="D364" s="40" t="s">
        <v>0</v>
      </c>
      <c r="E364" s="40">
        <v>7</v>
      </c>
      <c r="F364" s="40">
        <v>18</v>
      </c>
      <c r="G364">
        <v>60.123809999999999</v>
      </c>
    </row>
    <row r="365" spans="1:7" x14ac:dyDescent="0.25">
      <c r="A365" s="40">
        <v>4130</v>
      </c>
      <c r="B365" s="40">
        <v>17.420000000000002</v>
      </c>
      <c r="C365" s="40">
        <v>5</v>
      </c>
      <c r="D365" s="40" t="s">
        <v>0</v>
      </c>
      <c r="E365" s="40">
        <v>7</v>
      </c>
      <c r="F365" s="40">
        <v>19</v>
      </c>
      <c r="G365">
        <v>71.458749999999995</v>
      </c>
    </row>
    <row r="366" spans="1:7" x14ac:dyDescent="0.25">
      <c r="A366" s="40">
        <v>4130</v>
      </c>
      <c r="B366" s="40">
        <v>17.420000000000002</v>
      </c>
      <c r="C366" s="40">
        <v>5</v>
      </c>
      <c r="D366" s="40" t="s">
        <v>0</v>
      </c>
      <c r="E366" s="40">
        <v>7</v>
      </c>
      <c r="F366" s="40">
        <v>21</v>
      </c>
      <c r="G366">
        <v>62.049579999999999</v>
      </c>
    </row>
    <row r="367" spans="1:7" x14ac:dyDescent="0.25">
      <c r="A367" s="40">
        <v>4130</v>
      </c>
      <c r="B367" s="40">
        <v>17.420000000000002</v>
      </c>
      <c r="C367" s="40">
        <v>5</v>
      </c>
      <c r="D367" s="40" t="s">
        <v>0</v>
      </c>
      <c r="E367" s="40">
        <v>7</v>
      </c>
      <c r="F367" s="40">
        <v>22</v>
      </c>
      <c r="G367">
        <v>53.730510000000002</v>
      </c>
    </row>
    <row r="368" spans="1:7" x14ac:dyDescent="0.25">
      <c r="A368" s="40">
        <v>4130</v>
      </c>
      <c r="B368" s="40">
        <v>17.420000000000002</v>
      </c>
      <c r="C368" s="40">
        <v>5</v>
      </c>
      <c r="D368" s="40" t="s">
        <v>0</v>
      </c>
      <c r="E368" s="40">
        <v>7</v>
      </c>
      <c r="F368" s="40">
        <v>23</v>
      </c>
      <c r="G368">
        <v>69.557640000000006</v>
      </c>
    </row>
    <row r="369" spans="1:7" x14ac:dyDescent="0.25">
      <c r="A369" s="40">
        <v>4130</v>
      </c>
      <c r="B369" s="40">
        <v>17.420000000000002</v>
      </c>
      <c r="C369" s="40">
        <v>5</v>
      </c>
      <c r="D369" s="40" t="s">
        <v>0</v>
      </c>
      <c r="E369" s="40">
        <v>7</v>
      </c>
      <c r="F369" s="40">
        <v>24</v>
      </c>
      <c r="G369">
        <v>67.636489999999995</v>
      </c>
    </row>
    <row r="370" spans="1:7" x14ac:dyDescent="0.25">
      <c r="A370" s="40">
        <v>4130</v>
      </c>
      <c r="B370" s="40">
        <v>17.420000000000002</v>
      </c>
      <c r="C370" s="40">
        <v>5</v>
      </c>
      <c r="D370" s="40" t="s">
        <v>0</v>
      </c>
      <c r="E370" s="40">
        <v>7</v>
      </c>
      <c r="F370" s="40">
        <v>25</v>
      </c>
      <c r="G370">
        <v>74.099170000000001</v>
      </c>
    </row>
    <row r="371" spans="1:7" x14ac:dyDescent="0.25">
      <c r="A371" s="40">
        <v>4130</v>
      </c>
      <c r="B371" s="40">
        <v>17.420000000000002</v>
      </c>
      <c r="C371" s="40">
        <v>5</v>
      </c>
      <c r="D371" s="40" t="s">
        <v>0</v>
      </c>
      <c r="E371" s="40">
        <v>7</v>
      </c>
      <c r="F371" s="40">
        <v>26</v>
      </c>
      <c r="G371">
        <v>73.285070000000005</v>
      </c>
    </row>
    <row r="372" spans="1:7" x14ac:dyDescent="0.25">
      <c r="A372" s="40">
        <v>4130</v>
      </c>
      <c r="B372" s="40">
        <v>17.420000000000002</v>
      </c>
      <c r="C372" s="40">
        <v>5</v>
      </c>
      <c r="D372" s="40" t="s">
        <v>0</v>
      </c>
      <c r="E372" s="40">
        <v>7</v>
      </c>
      <c r="F372" s="40">
        <v>28</v>
      </c>
      <c r="G372">
        <v>55.875230000000002</v>
      </c>
    </row>
    <row r="373" spans="1:7" x14ac:dyDescent="0.25">
      <c r="A373" s="58">
        <v>4130</v>
      </c>
      <c r="B373" s="58">
        <v>17.420000000000002</v>
      </c>
      <c r="C373" s="58">
        <v>5</v>
      </c>
      <c r="D373" s="40" t="s">
        <v>0</v>
      </c>
      <c r="E373" s="58">
        <v>7</v>
      </c>
      <c r="F373" s="58">
        <v>29</v>
      </c>
      <c r="G373">
        <v>60.454540000000001</v>
      </c>
    </row>
    <row r="374" spans="1:7" x14ac:dyDescent="0.25">
      <c r="A374" s="40">
        <v>8890</v>
      </c>
      <c r="B374" s="40">
        <v>16.41</v>
      </c>
      <c r="C374" s="40">
        <v>5</v>
      </c>
      <c r="D374" s="40" t="s">
        <v>0</v>
      </c>
      <c r="E374" s="40">
        <v>7</v>
      </c>
      <c r="F374" s="40">
        <v>1</v>
      </c>
      <c r="G374">
        <v>26.497520000000002</v>
      </c>
    </row>
    <row r="375" spans="1:7" x14ac:dyDescent="0.25">
      <c r="A375" s="40">
        <v>8890</v>
      </c>
      <c r="B375" s="40">
        <v>16.41</v>
      </c>
      <c r="C375" s="40">
        <v>5</v>
      </c>
      <c r="D375" s="40" t="s">
        <v>0</v>
      </c>
      <c r="E375" s="40">
        <v>7</v>
      </c>
      <c r="F375" s="40">
        <v>2</v>
      </c>
      <c r="G375">
        <v>23.592669999999998</v>
      </c>
    </row>
    <row r="376" spans="1:7" x14ac:dyDescent="0.25">
      <c r="A376" s="40">
        <v>8890</v>
      </c>
      <c r="B376" s="40">
        <v>16.41</v>
      </c>
      <c r="C376" s="40">
        <v>5</v>
      </c>
      <c r="D376" s="40" t="s">
        <v>0</v>
      </c>
      <c r="E376" s="40">
        <v>7</v>
      </c>
      <c r="F376" s="40">
        <v>3</v>
      </c>
      <c r="G376">
        <v>30.150950000000002</v>
      </c>
    </row>
    <row r="377" spans="1:7" x14ac:dyDescent="0.25">
      <c r="A377" s="40">
        <v>8890</v>
      </c>
      <c r="B377" s="40">
        <v>16.41</v>
      </c>
      <c r="C377" s="40">
        <v>5</v>
      </c>
      <c r="D377" s="40" t="s">
        <v>0</v>
      </c>
      <c r="E377" s="40">
        <v>7</v>
      </c>
      <c r="F377" s="40">
        <v>4</v>
      </c>
      <c r="G377">
        <v>32.43674</v>
      </c>
    </row>
    <row r="378" spans="1:7" x14ac:dyDescent="0.25">
      <c r="A378" s="40">
        <v>8890</v>
      </c>
      <c r="B378" s="40">
        <v>16.41</v>
      </c>
      <c r="C378" s="40">
        <v>5</v>
      </c>
      <c r="D378" s="40" t="s">
        <v>0</v>
      </c>
      <c r="E378" s="40">
        <v>7</v>
      </c>
      <c r="F378" s="40">
        <v>5</v>
      </c>
      <c r="G378">
        <v>33.094349999999999</v>
      </c>
    </row>
    <row r="379" spans="1:7" x14ac:dyDescent="0.25">
      <c r="A379" s="40">
        <v>8890</v>
      </c>
      <c r="B379" s="40">
        <v>16.41</v>
      </c>
      <c r="C379" s="40">
        <v>5</v>
      </c>
      <c r="D379" s="40" t="s">
        <v>0</v>
      </c>
      <c r="E379" s="40">
        <v>7</v>
      </c>
      <c r="F379" s="40">
        <v>6</v>
      </c>
      <c r="G379">
        <v>30.616589999999999</v>
      </c>
    </row>
    <row r="380" spans="1:7" x14ac:dyDescent="0.25">
      <c r="A380" s="40">
        <v>8890</v>
      </c>
      <c r="B380" s="40">
        <v>16.41</v>
      </c>
      <c r="C380" s="40">
        <v>5</v>
      </c>
      <c r="D380" s="40" t="s">
        <v>0</v>
      </c>
      <c r="E380" s="40">
        <v>7</v>
      </c>
      <c r="F380" s="40">
        <v>8</v>
      </c>
      <c r="G380">
        <v>33.69567</v>
      </c>
    </row>
    <row r="381" spans="1:7" x14ac:dyDescent="0.25">
      <c r="A381" s="40">
        <v>8890</v>
      </c>
      <c r="B381" s="40">
        <v>16.41</v>
      </c>
      <c r="C381" s="40">
        <v>5</v>
      </c>
      <c r="D381" s="40" t="s">
        <v>0</v>
      </c>
      <c r="E381" s="40">
        <v>7</v>
      </c>
      <c r="F381" s="40">
        <v>12</v>
      </c>
      <c r="G381">
        <v>27.738720000000001</v>
      </c>
    </row>
    <row r="382" spans="1:7" x14ac:dyDescent="0.25">
      <c r="A382" s="40">
        <v>8890</v>
      </c>
      <c r="B382" s="40">
        <v>16.41</v>
      </c>
      <c r="C382" s="40">
        <v>5</v>
      </c>
      <c r="D382" s="40" t="s">
        <v>0</v>
      </c>
      <c r="E382" s="40">
        <v>7</v>
      </c>
      <c r="F382" s="40">
        <v>13</v>
      </c>
      <c r="G382">
        <v>29.509540000000001</v>
      </c>
    </row>
    <row r="383" spans="1:7" x14ac:dyDescent="0.25">
      <c r="A383" s="40">
        <v>8890</v>
      </c>
      <c r="B383" s="40">
        <v>16.41</v>
      </c>
      <c r="C383" s="40">
        <v>5</v>
      </c>
      <c r="D383" s="40" t="s">
        <v>0</v>
      </c>
      <c r="E383" s="40">
        <v>7</v>
      </c>
      <c r="F383" s="40">
        <v>15</v>
      </c>
      <c r="G383">
        <v>34.38411</v>
      </c>
    </row>
    <row r="384" spans="1:7" x14ac:dyDescent="0.25">
      <c r="A384" s="40">
        <v>8890</v>
      </c>
      <c r="B384" s="40">
        <v>16.41</v>
      </c>
      <c r="C384" s="40">
        <v>5</v>
      </c>
      <c r="D384" s="40" t="s">
        <v>0</v>
      </c>
      <c r="E384" s="40">
        <v>7</v>
      </c>
      <c r="F384" s="40">
        <v>16</v>
      </c>
      <c r="G384">
        <v>25.686509999999998</v>
      </c>
    </row>
    <row r="385" spans="1:7" x14ac:dyDescent="0.25">
      <c r="A385" s="40">
        <v>8890</v>
      </c>
      <c r="B385" s="40">
        <v>16.41</v>
      </c>
      <c r="C385" s="40">
        <v>5</v>
      </c>
      <c r="D385" s="40" t="s">
        <v>0</v>
      </c>
      <c r="E385" s="40">
        <v>7</v>
      </c>
      <c r="F385" s="40">
        <v>17</v>
      </c>
      <c r="G385">
        <v>26.139810000000001</v>
      </c>
    </row>
    <row r="386" spans="1:7" x14ac:dyDescent="0.25">
      <c r="A386" s="40">
        <v>8890</v>
      </c>
      <c r="B386" s="40">
        <v>16.41</v>
      </c>
      <c r="C386" s="40">
        <v>5</v>
      </c>
      <c r="D386" s="40" t="s">
        <v>0</v>
      </c>
      <c r="E386" s="40">
        <v>7</v>
      </c>
      <c r="F386" s="40">
        <v>18</v>
      </c>
      <c r="G386">
        <v>27.51746</v>
      </c>
    </row>
    <row r="387" spans="1:7" x14ac:dyDescent="0.25">
      <c r="A387" s="40">
        <v>8890</v>
      </c>
      <c r="B387" s="40">
        <v>16.41</v>
      </c>
      <c r="C387" s="40">
        <v>5</v>
      </c>
      <c r="D387" s="40" t="s">
        <v>0</v>
      </c>
      <c r="E387" s="40">
        <v>7</v>
      </c>
      <c r="F387" s="40">
        <v>19</v>
      </c>
      <c r="G387">
        <v>25.106770000000001</v>
      </c>
    </row>
    <row r="388" spans="1:7" x14ac:dyDescent="0.25">
      <c r="A388" s="40">
        <v>8890</v>
      </c>
      <c r="B388" s="40">
        <v>16.41</v>
      </c>
      <c r="C388" s="40">
        <v>5</v>
      </c>
      <c r="D388" s="40" t="s">
        <v>0</v>
      </c>
      <c r="E388" s="40">
        <v>7</v>
      </c>
      <c r="F388" s="40">
        <v>20</v>
      </c>
      <c r="G388">
        <v>24.585629999999998</v>
      </c>
    </row>
    <row r="389" spans="1:7" x14ac:dyDescent="0.25">
      <c r="A389" s="40">
        <v>8890</v>
      </c>
      <c r="B389" s="40">
        <v>16.41</v>
      </c>
      <c r="C389" s="40">
        <v>5</v>
      </c>
      <c r="D389" s="40" t="s">
        <v>0</v>
      </c>
      <c r="E389" s="40">
        <v>7</v>
      </c>
      <c r="F389" s="40">
        <v>21</v>
      </c>
      <c r="G389">
        <v>29.440919999999998</v>
      </c>
    </row>
    <row r="390" spans="1:7" x14ac:dyDescent="0.25">
      <c r="A390" s="40">
        <v>8890</v>
      </c>
      <c r="B390" s="40">
        <v>16.41</v>
      </c>
      <c r="C390" s="40">
        <v>5</v>
      </c>
      <c r="D390" s="40" t="s">
        <v>0</v>
      </c>
      <c r="E390" s="40">
        <v>7</v>
      </c>
      <c r="F390" s="40">
        <v>22</v>
      </c>
      <c r="G390">
        <v>31.883990000000001</v>
      </c>
    </row>
    <row r="391" spans="1:7" x14ac:dyDescent="0.25">
      <c r="A391" s="40">
        <v>8890</v>
      </c>
      <c r="B391" s="40">
        <v>16.41</v>
      </c>
      <c r="C391" s="40">
        <v>5</v>
      </c>
      <c r="D391" s="40" t="s">
        <v>0</v>
      </c>
      <c r="E391" s="40">
        <v>7</v>
      </c>
      <c r="F391" s="40">
        <v>23</v>
      </c>
      <c r="G391">
        <v>29.680679999999999</v>
      </c>
    </row>
    <row r="392" spans="1:7" x14ac:dyDescent="0.25">
      <c r="A392" s="40">
        <v>8890</v>
      </c>
      <c r="B392" s="40">
        <v>16.41</v>
      </c>
      <c r="C392" s="40">
        <v>5</v>
      </c>
      <c r="D392" s="40" t="s">
        <v>0</v>
      </c>
      <c r="E392" s="40">
        <v>7</v>
      </c>
      <c r="F392" s="40">
        <v>24</v>
      </c>
      <c r="G392">
        <v>26.166799999999999</v>
      </c>
    </row>
    <row r="393" spans="1:7" x14ac:dyDescent="0.25">
      <c r="A393" s="40">
        <v>8890</v>
      </c>
      <c r="B393" s="40">
        <v>16.41</v>
      </c>
      <c r="C393" s="40">
        <v>5</v>
      </c>
      <c r="D393" s="40" t="s">
        <v>0</v>
      </c>
      <c r="E393" s="40">
        <v>7</v>
      </c>
      <c r="F393" s="40">
        <v>25</v>
      </c>
      <c r="G393">
        <v>31.61956</v>
      </c>
    </row>
    <row r="394" spans="1:7" x14ac:dyDescent="0.25">
      <c r="A394" s="58">
        <v>8890</v>
      </c>
      <c r="B394" s="58">
        <v>16.41</v>
      </c>
      <c r="C394" s="58">
        <v>5</v>
      </c>
      <c r="D394" s="40" t="s">
        <v>0</v>
      </c>
      <c r="E394" s="58">
        <v>7</v>
      </c>
      <c r="F394" s="58">
        <v>26</v>
      </c>
      <c r="G394">
        <v>19.50676</v>
      </c>
    </row>
    <row r="395" spans="1:7" x14ac:dyDescent="0.25">
      <c r="A395" s="40">
        <v>9868</v>
      </c>
      <c r="B395" s="40">
        <v>16.239999999999998</v>
      </c>
      <c r="C395" s="40">
        <v>2</v>
      </c>
      <c r="D395" s="40" t="s">
        <v>0</v>
      </c>
      <c r="E395" s="40">
        <v>7</v>
      </c>
      <c r="F395" s="40">
        <v>1</v>
      </c>
      <c r="G395">
        <v>45.500869999999999</v>
      </c>
    </row>
    <row r="396" spans="1:7" x14ac:dyDescent="0.25">
      <c r="A396" s="40">
        <v>9868</v>
      </c>
      <c r="B396" s="40">
        <v>16.239999999999998</v>
      </c>
      <c r="C396" s="40">
        <v>2</v>
      </c>
      <c r="D396" s="40" t="s">
        <v>0</v>
      </c>
      <c r="E396" s="40">
        <v>7</v>
      </c>
      <c r="F396" s="40">
        <v>2</v>
      </c>
      <c r="G396">
        <v>42.399430000000002</v>
      </c>
    </row>
    <row r="397" spans="1:7" x14ac:dyDescent="0.25">
      <c r="A397" s="40">
        <v>9868</v>
      </c>
      <c r="B397" s="40">
        <v>16.239999999999998</v>
      </c>
      <c r="C397" s="40">
        <v>2</v>
      </c>
      <c r="D397" s="40" t="s">
        <v>0</v>
      </c>
      <c r="E397" s="40">
        <v>7</v>
      </c>
      <c r="F397" s="40">
        <v>3</v>
      </c>
      <c r="G397">
        <v>45.466180000000001</v>
      </c>
    </row>
    <row r="398" spans="1:7" x14ac:dyDescent="0.25">
      <c r="A398" s="40">
        <v>9868</v>
      </c>
      <c r="B398" s="40">
        <v>16.239999999999998</v>
      </c>
      <c r="C398" s="40">
        <v>2</v>
      </c>
      <c r="D398" s="40" t="s">
        <v>0</v>
      </c>
      <c r="E398" s="40">
        <v>7</v>
      </c>
      <c r="F398" s="40">
        <v>4</v>
      </c>
      <c r="G398">
        <v>50.728520000000003</v>
      </c>
    </row>
    <row r="399" spans="1:7" x14ac:dyDescent="0.25">
      <c r="A399" s="40">
        <v>9868</v>
      </c>
      <c r="B399" s="40">
        <v>16.239999999999998</v>
      </c>
      <c r="C399" s="40">
        <v>2</v>
      </c>
      <c r="D399" s="40" t="s">
        <v>0</v>
      </c>
      <c r="E399" s="40">
        <v>7</v>
      </c>
      <c r="F399" s="40">
        <v>5</v>
      </c>
      <c r="G399">
        <v>51.554960000000001</v>
      </c>
    </row>
    <row r="400" spans="1:7" x14ac:dyDescent="0.25">
      <c r="A400" s="40">
        <v>9868</v>
      </c>
      <c r="B400" s="40">
        <v>16.239999999999998</v>
      </c>
      <c r="C400" s="40">
        <v>2</v>
      </c>
      <c r="D400" s="40" t="s">
        <v>0</v>
      </c>
      <c r="E400" s="40">
        <v>7</v>
      </c>
      <c r="F400" s="40">
        <v>6</v>
      </c>
      <c r="G400">
        <v>54.754300000000001</v>
      </c>
    </row>
    <row r="401" spans="1:7" x14ac:dyDescent="0.25">
      <c r="A401" s="40">
        <v>9868</v>
      </c>
      <c r="B401" s="40">
        <v>16.239999999999998</v>
      </c>
      <c r="C401" s="40">
        <v>2</v>
      </c>
      <c r="D401" s="40" t="s">
        <v>0</v>
      </c>
      <c r="E401" s="40">
        <v>7</v>
      </c>
      <c r="F401" s="40">
        <v>8</v>
      </c>
      <c r="G401">
        <v>42.848109999999998</v>
      </c>
    </row>
    <row r="402" spans="1:7" x14ac:dyDescent="0.25">
      <c r="A402" s="40">
        <v>9868</v>
      </c>
      <c r="B402" s="40">
        <v>16.239999999999998</v>
      </c>
      <c r="C402" s="40">
        <v>2</v>
      </c>
      <c r="D402" s="40" t="s">
        <v>0</v>
      </c>
      <c r="E402" s="40">
        <v>7</v>
      </c>
      <c r="F402" s="40">
        <v>9</v>
      </c>
      <c r="G402">
        <v>53.520820000000001</v>
      </c>
    </row>
    <row r="403" spans="1:7" x14ac:dyDescent="0.25">
      <c r="A403" s="40">
        <v>9868</v>
      </c>
      <c r="B403" s="40">
        <v>16.239999999999998</v>
      </c>
      <c r="C403" s="40">
        <v>2</v>
      </c>
      <c r="D403" s="40" t="s">
        <v>0</v>
      </c>
      <c r="E403" s="40">
        <v>7</v>
      </c>
      <c r="F403" s="40">
        <v>10</v>
      </c>
      <c r="G403">
        <v>60.425240000000002</v>
      </c>
    </row>
    <row r="404" spans="1:7" x14ac:dyDescent="0.25">
      <c r="A404" s="40">
        <v>9868</v>
      </c>
      <c r="B404" s="40">
        <v>16.239999999999998</v>
      </c>
      <c r="C404" s="40">
        <v>2</v>
      </c>
      <c r="D404" s="40" t="s">
        <v>0</v>
      </c>
      <c r="E404" s="40">
        <v>7</v>
      </c>
      <c r="F404" s="40">
        <v>13</v>
      </c>
      <c r="G404">
        <v>54.799790000000002</v>
      </c>
    </row>
    <row r="405" spans="1:7" x14ac:dyDescent="0.25">
      <c r="A405" s="40">
        <v>9868</v>
      </c>
      <c r="B405" s="40">
        <v>16.239999999999998</v>
      </c>
      <c r="C405" s="40">
        <v>2</v>
      </c>
      <c r="D405" s="40" t="s">
        <v>0</v>
      </c>
      <c r="E405" s="40">
        <v>7</v>
      </c>
      <c r="F405" s="40">
        <v>14</v>
      </c>
      <c r="G405">
        <v>53.386679999999998</v>
      </c>
    </row>
    <row r="406" spans="1:7" x14ac:dyDescent="0.25">
      <c r="A406" s="40">
        <v>9868</v>
      </c>
      <c r="B406" s="40">
        <v>16.239999999999998</v>
      </c>
      <c r="C406" s="40">
        <v>2</v>
      </c>
      <c r="D406" s="40" t="s">
        <v>0</v>
      </c>
      <c r="E406" s="40">
        <v>7</v>
      </c>
      <c r="F406" s="40">
        <v>15</v>
      </c>
      <c r="G406">
        <v>46.462220000000002</v>
      </c>
    </row>
    <row r="407" spans="1:7" x14ac:dyDescent="0.25">
      <c r="A407" s="40">
        <v>9868</v>
      </c>
      <c r="B407" s="40">
        <v>16.239999999999998</v>
      </c>
      <c r="C407" s="40">
        <v>2</v>
      </c>
      <c r="D407" s="40" t="s">
        <v>0</v>
      </c>
      <c r="E407" s="40">
        <v>7</v>
      </c>
      <c r="F407" s="40">
        <v>17</v>
      </c>
      <c r="G407">
        <v>60.866210000000002</v>
      </c>
    </row>
    <row r="408" spans="1:7" x14ac:dyDescent="0.25">
      <c r="A408" s="40">
        <v>9868</v>
      </c>
      <c r="B408" s="40">
        <v>16.239999999999998</v>
      </c>
      <c r="C408" s="40">
        <v>2</v>
      </c>
      <c r="D408" s="40" t="s">
        <v>0</v>
      </c>
      <c r="E408" s="40">
        <v>7</v>
      </c>
      <c r="F408" s="40">
        <v>19</v>
      </c>
      <c r="G408">
        <v>45.911769999999997</v>
      </c>
    </row>
    <row r="409" spans="1:7" x14ac:dyDescent="0.25">
      <c r="A409" s="40">
        <v>9868</v>
      </c>
      <c r="B409" s="40">
        <v>16.239999999999998</v>
      </c>
      <c r="C409" s="40">
        <v>2</v>
      </c>
      <c r="D409" s="40" t="s">
        <v>0</v>
      </c>
      <c r="E409" s="40">
        <v>7</v>
      </c>
      <c r="F409" s="40">
        <v>20</v>
      </c>
      <c r="G409">
        <v>58.682180000000002</v>
      </c>
    </row>
    <row r="410" spans="1:7" x14ac:dyDescent="0.25">
      <c r="A410" s="40">
        <v>9868</v>
      </c>
      <c r="B410" s="40">
        <v>16.239999999999998</v>
      </c>
      <c r="C410" s="40">
        <v>2</v>
      </c>
      <c r="D410" s="40" t="s">
        <v>0</v>
      </c>
      <c r="E410" s="40">
        <v>7</v>
      </c>
      <c r="F410" s="40">
        <v>21</v>
      </c>
      <c r="G410">
        <v>41.800420000000003</v>
      </c>
    </row>
    <row r="411" spans="1:7" x14ac:dyDescent="0.25">
      <c r="A411" s="40">
        <v>9868</v>
      </c>
      <c r="B411" s="40">
        <v>16.239999999999998</v>
      </c>
      <c r="C411" s="40">
        <v>2</v>
      </c>
      <c r="D411" s="40" t="s">
        <v>0</v>
      </c>
      <c r="E411" s="40">
        <v>7</v>
      </c>
      <c r="F411" s="40">
        <v>24</v>
      </c>
      <c r="G411">
        <v>59.806959999999997</v>
      </c>
    </row>
    <row r="412" spans="1:7" x14ac:dyDescent="0.25">
      <c r="A412" s="40">
        <v>9868</v>
      </c>
      <c r="B412" s="40">
        <v>16.239999999999998</v>
      </c>
      <c r="C412" s="40">
        <v>2</v>
      </c>
      <c r="D412" s="40" t="s">
        <v>0</v>
      </c>
      <c r="E412" s="40">
        <v>7</v>
      </c>
      <c r="F412" s="40">
        <v>25</v>
      </c>
      <c r="G412">
        <v>48.007919999999999</v>
      </c>
    </row>
    <row r="413" spans="1:7" x14ac:dyDescent="0.25">
      <c r="A413" s="40">
        <v>9868</v>
      </c>
      <c r="B413" s="40">
        <v>16.239999999999998</v>
      </c>
      <c r="C413" s="40">
        <v>2</v>
      </c>
      <c r="D413" s="40" t="s">
        <v>0</v>
      </c>
      <c r="E413" s="40">
        <v>7</v>
      </c>
      <c r="F413" s="40">
        <v>26</v>
      </c>
      <c r="G413">
        <v>51.005290000000002</v>
      </c>
    </row>
    <row r="414" spans="1:7" x14ac:dyDescent="0.25">
      <c r="A414" s="40">
        <v>9868</v>
      </c>
      <c r="B414" s="40">
        <v>16.239999999999998</v>
      </c>
      <c r="C414" s="40">
        <v>2</v>
      </c>
      <c r="D414" s="40" t="s">
        <v>0</v>
      </c>
      <c r="E414" s="40">
        <v>7</v>
      </c>
      <c r="F414" s="40">
        <v>27</v>
      </c>
      <c r="G414">
        <v>58.377659999999999</v>
      </c>
    </row>
    <row r="415" spans="1:7" x14ac:dyDescent="0.25">
      <c r="A415" s="40">
        <v>9868</v>
      </c>
      <c r="B415" s="40">
        <v>16.239999999999998</v>
      </c>
      <c r="C415" s="40">
        <v>2</v>
      </c>
      <c r="D415" s="40" t="s">
        <v>0</v>
      </c>
      <c r="E415" s="40">
        <v>7</v>
      </c>
      <c r="F415" s="40">
        <v>28</v>
      </c>
      <c r="G415">
        <v>48.934579999999997</v>
      </c>
    </row>
    <row r="416" spans="1:7" x14ac:dyDescent="0.25">
      <c r="A416" s="58">
        <v>9868</v>
      </c>
      <c r="B416" s="58">
        <v>16.239999999999998</v>
      </c>
      <c r="C416" s="58">
        <v>2</v>
      </c>
      <c r="D416" s="40" t="s">
        <v>0</v>
      </c>
      <c r="E416" s="58">
        <v>7</v>
      </c>
      <c r="F416" s="58">
        <v>29</v>
      </c>
      <c r="G416">
        <v>57.05012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02F5C-F121-4558-B072-48CD0E973AF3}">
  <dimension ref="A1:I21"/>
  <sheetViews>
    <sheetView workbookViewId="0">
      <selection activeCell="D2" sqref="D2"/>
    </sheetView>
  </sheetViews>
  <sheetFormatPr defaultRowHeight="15" x14ac:dyDescent="0.25"/>
  <sheetData>
    <row r="1" spans="1:9" x14ac:dyDescent="0.25">
      <c r="A1" s="84" t="s">
        <v>80</v>
      </c>
      <c r="B1" s="86" t="s">
        <v>30</v>
      </c>
      <c r="C1" s="86" t="s">
        <v>29</v>
      </c>
      <c r="D1" s="86" t="s">
        <v>79</v>
      </c>
      <c r="E1" s="88" t="s">
        <v>108</v>
      </c>
      <c r="F1" s="88" t="s">
        <v>109</v>
      </c>
      <c r="G1" s="88" t="s">
        <v>110</v>
      </c>
      <c r="H1" s="88" t="s">
        <v>111</v>
      </c>
      <c r="I1" s="88" t="s">
        <v>112</v>
      </c>
    </row>
    <row r="2" spans="1:9" x14ac:dyDescent="0.25">
      <c r="A2" s="59">
        <v>1157</v>
      </c>
      <c r="B2" s="59">
        <v>2</v>
      </c>
      <c r="C2" s="59" t="s">
        <v>0</v>
      </c>
      <c r="D2" s="59">
        <v>7</v>
      </c>
      <c r="E2" s="60">
        <v>40.629409000000003</v>
      </c>
      <c r="F2" s="60">
        <v>23.216697</v>
      </c>
      <c r="G2" s="60">
        <v>13.761824000000001</v>
      </c>
      <c r="H2" s="60">
        <v>26.988982</v>
      </c>
      <c r="I2" s="60">
        <v>30.653822000000002</v>
      </c>
    </row>
    <row r="3" spans="1:9" x14ac:dyDescent="0.25">
      <c r="A3" s="59">
        <v>3644</v>
      </c>
      <c r="B3" s="59">
        <v>2</v>
      </c>
      <c r="C3" s="59" t="s">
        <v>0</v>
      </c>
      <c r="D3" s="59">
        <v>7</v>
      </c>
      <c r="E3" s="60">
        <v>37.237102</v>
      </c>
      <c r="F3" s="60">
        <v>25.001394999999999</v>
      </c>
      <c r="G3" s="60">
        <v>13.650962</v>
      </c>
      <c r="H3" s="60">
        <v>28.485643</v>
      </c>
      <c r="I3" s="60">
        <v>28.638608000000001</v>
      </c>
    </row>
    <row r="4" spans="1:9" x14ac:dyDescent="0.25">
      <c r="A4" s="61">
        <v>3806</v>
      </c>
      <c r="B4" s="61">
        <v>2</v>
      </c>
      <c r="C4" s="59" t="s">
        <v>0</v>
      </c>
      <c r="D4" s="61">
        <v>7</v>
      </c>
      <c r="E4" s="60">
        <v>45.063232999999997</v>
      </c>
      <c r="F4" s="60">
        <v>22.219086000000001</v>
      </c>
      <c r="G4" s="60">
        <v>14.613576999999999</v>
      </c>
      <c r="H4" s="60">
        <v>26.594069000000001</v>
      </c>
      <c r="I4" s="60">
        <v>33.333100000000002</v>
      </c>
    </row>
    <row r="5" spans="1:9" x14ac:dyDescent="0.25">
      <c r="A5" s="59">
        <v>3912</v>
      </c>
      <c r="B5" s="59">
        <v>2</v>
      </c>
      <c r="C5" s="59" t="s">
        <v>0</v>
      </c>
      <c r="D5" s="59">
        <v>7</v>
      </c>
      <c r="E5" s="60">
        <v>44.308709</v>
      </c>
      <c r="F5" s="60">
        <v>24.043754</v>
      </c>
      <c r="G5" s="60">
        <v>15.044015</v>
      </c>
      <c r="H5" s="60">
        <v>28.363316000000001</v>
      </c>
      <c r="I5" s="60">
        <v>32.024088999999996</v>
      </c>
    </row>
    <row r="6" spans="1:9" x14ac:dyDescent="0.25">
      <c r="A6" s="61">
        <v>9868</v>
      </c>
      <c r="B6" s="61">
        <v>2</v>
      </c>
      <c r="C6" s="59" t="s">
        <v>0</v>
      </c>
      <c r="D6" s="61">
        <v>7</v>
      </c>
      <c r="E6" s="60">
        <v>43.461685000000003</v>
      </c>
      <c r="F6" s="60">
        <v>24.36279</v>
      </c>
      <c r="G6" s="60">
        <v>14.963084</v>
      </c>
      <c r="H6" s="60">
        <v>28.590954</v>
      </c>
      <c r="I6" s="60">
        <v>31.556716000000002</v>
      </c>
    </row>
    <row r="7" spans="1:9" x14ac:dyDescent="0.25">
      <c r="A7" s="59">
        <v>1180</v>
      </c>
      <c r="B7" s="59">
        <v>3</v>
      </c>
      <c r="C7" s="59" t="s">
        <v>21</v>
      </c>
      <c r="D7" s="59">
        <v>7</v>
      </c>
      <c r="E7" s="60">
        <v>41.109586</v>
      </c>
      <c r="F7" s="60">
        <v>25.983086</v>
      </c>
      <c r="G7" s="60">
        <v>15.077771</v>
      </c>
      <c r="H7" s="60">
        <v>30.040980000000001</v>
      </c>
      <c r="I7" s="60">
        <v>30.126276000000001</v>
      </c>
    </row>
    <row r="8" spans="1:9" x14ac:dyDescent="0.25">
      <c r="A8" s="59">
        <v>2562</v>
      </c>
      <c r="B8" s="59">
        <v>3</v>
      </c>
      <c r="C8" s="59" t="s">
        <v>21</v>
      </c>
      <c r="D8" s="59">
        <v>7</v>
      </c>
      <c r="E8" s="60">
        <v>40.219428999999998</v>
      </c>
      <c r="F8" s="60">
        <v>25.451378999999999</v>
      </c>
      <c r="G8" s="60">
        <v>15.310250999999999</v>
      </c>
      <c r="H8" s="60">
        <v>29.701582999999999</v>
      </c>
      <c r="I8" s="60">
        <v>31.029848999999999</v>
      </c>
    </row>
    <row r="9" spans="1:9" x14ac:dyDescent="0.25">
      <c r="A9" s="61">
        <v>3649</v>
      </c>
      <c r="B9" s="61">
        <v>3</v>
      </c>
      <c r="C9" s="61" t="s">
        <v>21</v>
      </c>
      <c r="D9" s="61">
        <v>7</v>
      </c>
      <c r="E9" s="60">
        <v>40.889431999999999</v>
      </c>
      <c r="F9" s="60">
        <v>23.383084</v>
      </c>
      <c r="G9" s="60">
        <v>13.606401</v>
      </c>
      <c r="H9" s="60">
        <v>27.053709999999999</v>
      </c>
      <c r="I9" s="60">
        <v>30.192965999999998</v>
      </c>
    </row>
    <row r="10" spans="1:9" x14ac:dyDescent="0.25">
      <c r="A10" s="59">
        <v>3894</v>
      </c>
      <c r="B10" s="59">
        <v>3</v>
      </c>
      <c r="C10" s="59" t="s">
        <v>21</v>
      </c>
      <c r="D10" s="59">
        <v>7</v>
      </c>
      <c r="E10" s="60">
        <v>42.516240000000003</v>
      </c>
      <c r="F10" s="60">
        <v>24.953696999999998</v>
      </c>
      <c r="G10" s="60">
        <v>15.248585</v>
      </c>
      <c r="H10" s="60">
        <v>29.243912999999999</v>
      </c>
      <c r="I10" s="60">
        <v>31.427987000000002</v>
      </c>
    </row>
    <row r="11" spans="1:9" x14ac:dyDescent="0.25">
      <c r="A11" s="61">
        <v>7885</v>
      </c>
      <c r="B11" s="61">
        <v>3</v>
      </c>
      <c r="C11" s="61" t="s">
        <v>21</v>
      </c>
      <c r="D11" s="61">
        <v>7</v>
      </c>
      <c r="E11" s="60">
        <v>34.829732</v>
      </c>
      <c r="F11" s="60">
        <v>18.539411999999999</v>
      </c>
      <c r="G11" s="60">
        <v>9.7395739999999993</v>
      </c>
      <c r="H11" s="60">
        <v>20.942927000000001</v>
      </c>
      <c r="I11" s="60">
        <v>27.695882999999998</v>
      </c>
    </row>
    <row r="12" spans="1:9" x14ac:dyDescent="0.25">
      <c r="A12" s="61">
        <v>1177</v>
      </c>
      <c r="B12" s="61">
        <v>4</v>
      </c>
      <c r="C12" s="61" t="s">
        <v>21</v>
      </c>
      <c r="D12" s="61">
        <v>7</v>
      </c>
      <c r="E12" s="60">
        <v>45.072311999999997</v>
      </c>
      <c r="F12" s="60">
        <v>23.636306000000001</v>
      </c>
      <c r="G12" s="60">
        <v>15.151782000000001</v>
      </c>
      <c r="H12" s="60">
        <v>28.076038</v>
      </c>
      <c r="I12" s="60">
        <v>32.658695999999999</v>
      </c>
    </row>
    <row r="13" spans="1:9" x14ac:dyDescent="0.25">
      <c r="A13" s="61">
        <v>1183</v>
      </c>
      <c r="B13" s="61">
        <v>4</v>
      </c>
      <c r="C13" s="61" t="s">
        <v>21</v>
      </c>
      <c r="D13" s="61">
        <v>7</v>
      </c>
      <c r="E13" s="60">
        <v>41.039315999999999</v>
      </c>
      <c r="F13" s="60">
        <v>22.531082999999999</v>
      </c>
      <c r="G13" s="60">
        <v>13.838050000000001</v>
      </c>
      <c r="H13" s="60">
        <v>26.441282000000001</v>
      </c>
      <c r="I13" s="60">
        <v>31.557544</v>
      </c>
    </row>
    <row r="14" spans="1:9" x14ac:dyDescent="0.25">
      <c r="A14" s="61">
        <v>2927</v>
      </c>
      <c r="B14" s="61">
        <v>4</v>
      </c>
      <c r="C14" s="61" t="s">
        <v>21</v>
      </c>
      <c r="D14" s="61">
        <v>7</v>
      </c>
      <c r="E14" s="60">
        <v>37.686124</v>
      </c>
      <c r="F14" s="60">
        <v>25.581977999999999</v>
      </c>
      <c r="G14" s="60">
        <v>13.890136</v>
      </c>
      <c r="H14" s="60">
        <v>29.109786</v>
      </c>
      <c r="I14" s="60">
        <v>28.497817999999999</v>
      </c>
    </row>
    <row r="15" spans="1:9" x14ac:dyDescent="0.25">
      <c r="A15" s="61">
        <v>3896</v>
      </c>
      <c r="B15" s="61">
        <v>4</v>
      </c>
      <c r="C15" s="61" t="s">
        <v>21</v>
      </c>
      <c r="D15" s="61">
        <v>7</v>
      </c>
      <c r="E15" s="60">
        <v>35.013475</v>
      </c>
      <c r="F15" s="60">
        <v>16.779536</v>
      </c>
      <c r="G15" s="60">
        <v>9.2380230000000001</v>
      </c>
      <c r="H15" s="60">
        <v>19.157700999999999</v>
      </c>
      <c r="I15" s="60">
        <v>28.769873</v>
      </c>
    </row>
    <row r="16" spans="1:9" x14ac:dyDescent="0.25">
      <c r="A16" s="59">
        <v>6505</v>
      </c>
      <c r="B16" s="59">
        <v>4</v>
      </c>
      <c r="C16" s="59" t="s">
        <v>21</v>
      </c>
      <c r="D16" s="59">
        <v>7</v>
      </c>
      <c r="E16" s="60">
        <v>43.958210000000001</v>
      </c>
      <c r="F16" s="60">
        <v>22.954331</v>
      </c>
      <c r="G16" s="60">
        <v>14.884497</v>
      </c>
      <c r="H16" s="60">
        <v>27.359317000000001</v>
      </c>
      <c r="I16" s="60">
        <v>32.966923000000001</v>
      </c>
    </row>
    <row r="17" spans="1:9" x14ac:dyDescent="0.25">
      <c r="A17" s="59">
        <v>3651</v>
      </c>
      <c r="B17" s="59">
        <v>5</v>
      </c>
      <c r="C17" s="59" t="s">
        <v>0</v>
      </c>
      <c r="D17" s="59">
        <v>7</v>
      </c>
      <c r="E17" s="60">
        <v>39.063744</v>
      </c>
      <c r="F17" s="60">
        <v>28.300954999999998</v>
      </c>
      <c r="G17" s="60">
        <v>16.282187</v>
      </c>
      <c r="H17" s="60">
        <v>32.650478</v>
      </c>
      <c r="I17" s="60">
        <v>29.912768</v>
      </c>
    </row>
    <row r="18" spans="1:9" x14ac:dyDescent="0.25">
      <c r="A18" s="59">
        <v>3831</v>
      </c>
      <c r="B18" s="59">
        <v>5</v>
      </c>
      <c r="C18" s="59" t="s">
        <v>0</v>
      </c>
      <c r="D18" s="59">
        <v>7</v>
      </c>
      <c r="E18" s="60">
        <v>46.08578</v>
      </c>
      <c r="F18" s="60">
        <v>27.288340000000002</v>
      </c>
      <c r="G18" s="60">
        <v>17.124596</v>
      </c>
      <c r="H18" s="60">
        <v>32.216622999999998</v>
      </c>
      <c r="I18" s="60">
        <v>32.111004000000001</v>
      </c>
    </row>
    <row r="19" spans="1:9" x14ac:dyDescent="0.25">
      <c r="A19" s="61">
        <v>3883</v>
      </c>
      <c r="B19" s="61">
        <v>5</v>
      </c>
      <c r="C19" s="59" t="s">
        <v>0</v>
      </c>
      <c r="D19" s="61">
        <v>7</v>
      </c>
      <c r="E19" s="60">
        <v>43.996659999999999</v>
      </c>
      <c r="F19" s="60">
        <v>23.226741000000001</v>
      </c>
      <c r="G19" s="60">
        <v>14.64053</v>
      </c>
      <c r="H19" s="60">
        <v>27.455905999999999</v>
      </c>
      <c r="I19" s="60">
        <v>32.224755000000002</v>
      </c>
    </row>
    <row r="20" spans="1:9" x14ac:dyDescent="0.25">
      <c r="A20" s="61">
        <v>4130</v>
      </c>
      <c r="B20" s="61">
        <v>5</v>
      </c>
      <c r="C20" s="59" t="s">
        <v>0</v>
      </c>
      <c r="D20" s="61">
        <v>7</v>
      </c>
      <c r="E20" s="60">
        <v>42.017744999999998</v>
      </c>
      <c r="F20" s="60">
        <v>23.211383999999999</v>
      </c>
      <c r="G20" s="60">
        <v>14.708155</v>
      </c>
      <c r="H20" s="60">
        <v>27.479296999999999</v>
      </c>
      <c r="I20" s="60">
        <v>32.361888999999998</v>
      </c>
    </row>
    <row r="21" spans="1:9" x14ac:dyDescent="0.25">
      <c r="A21" s="59">
        <v>8890</v>
      </c>
      <c r="B21" s="59">
        <v>5</v>
      </c>
      <c r="C21" s="59" t="s">
        <v>0</v>
      </c>
      <c r="D21" s="59">
        <v>7</v>
      </c>
      <c r="E21" s="60">
        <v>43.532949000000002</v>
      </c>
      <c r="F21" s="60">
        <v>25.596608</v>
      </c>
      <c r="G21" s="60">
        <v>15.73936</v>
      </c>
      <c r="H21" s="60">
        <v>30.048613</v>
      </c>
      <c r="I21" s="60">
        <v>31.587354999999999</v>
      </c>
    </row>
  </sheetData>
  <sortState xmlns:xlrd2="http://schemas.microsoft.com/office/spreadsheetml/2017/richdata2" ref="A2:I42">
    <sortCondition ref="B1:B42"/>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87763-B14E-45D6-8846-1EB8837F1D89}">
  <dimension ref="A1:J22"/>
  <sheetViews>
    <sheetView tabSelected="1" topLeftCell="B1" workbookViewId="0">
      <selection activeCell="H13" sqref="H13"/>
    </sheetView>
  </sheetViews>
  <sheetFormatPr defaultRowHeight="15" x14ac:dyDescent="0.25"/>
  <cols>
    <col min="4" max="4" width="13.140625" bestFit="1" customWidth="1"/>
    <col min="5" max="5" width="7.42578125" bestFit="1" customWidth="1"/>
    <col min="6" max="6" width="11" bestFit="1" customWidth="1"/>
    <col min="7" max="7" width="5.5703125" bestFit="1" customWidth="1"/>
    <col min="8" max="8" width="10.85546875" bestFit="1" customWidth="1"/>
    <col min="9" max="9" width="18.85546875" bestFit="1" customWidth="1"/>
    <col min="10" max="10" width="9.42578125" bestFit="1" customWidth="1"/>
  </cols>
  <sheetData>
    <row r="1" spans="1:10" ht="18" x14ac:dyDescent="0.35">
      <c r="D1" s="108" t="s">
        <v>101</v>
      </c>
      <c r="E1" s="108"/>
      <c r="F1" s="108"/>
      <c r="G1" s="108"/>
      <c r="H1" s="108"/>
      <c r="I1" s="108"/>
      <c r="J1" s="108"/>
    </row>
    <row r="2" spans="1:10" x14ac:dyDescent="0.25">
      <c r="A2" t="s">
        <v>80</v>
      </c>
      <c r="B2" t="s">
        <v>29</v>
      </c>
      <c r="C2" t="s">
        <v>30</v>
      </c>
      <c r="D2" s="75" t="s">
        <v>102</v>
      </c>
      <c r="E2" s="75" t="s">
        <v>103</v>
      </c>
      <c r="F2" s="75" t="s">
        <v>104</v>
      </c>
      <c r="G2" s="75" t="s">
        <v>107</v>
      </c>
      <c r="H2" s="75" t="s">
        <v>105</v>
      </c>
      <c r="I2" s="75" t="s">
        <v>106</v>
      </c>
      <c r="J2" s="75" t="s">
        <v>98</v>
      </c>
    </row>
    <row r="3" spans="1:10" x14ac:dyDescent="0.25">
      <c r="A3">
        <v>3894</v>
      </c>
      <c r="B3" t="s">
        <v>21</v>
      </c>
      <c r="C3">
        <v>3</v>
      </c>
      <c r="D3" s="73">
        <v>260.91806730194656</v>
      </c>
      <c r="E3" s="73">
        <v>36.242659097449732</v>
      </c>
      <c r="F3" s="73">
        <v>464.86731332084054</v>
      </c>
      <c r="G3" s="73">
        <v>4.5055666367518832</v>
      </c>
      <c r="H3" s="73"/>
      <c r="I3" s="73"/>
      <c r="J3" s="74">
        <f>SUM(F3:I3)</f>
        <v>469.37287995759243</v>
      </c>
    </row>
    <row r="4" spans="1:10" x14ac:dyDescent="0.25">
      <c r="A4">
        <v>2927</v>
      </c>
      <c r="B4" t="s">
        <v>21</v>
      </c>
      <c r="C4">
        <v>4</v>
      </c>
      <c r="D4" s="73">
        <v>184.74142883066031</v>
      </c>
      <c r="E4" s="73">
        <v>37.461400050666043</v>
      </c>
      <c r="F4" s="73">
        <v>480.49952261962238</v>
      </c>
      <c r="G4" s="73">
        <v>4.6570764518261552</v>
      </c>
      <c r="H4" s="73"/>
      <c r="I4" s="73"/>
      <c r="J4" s="74">
        <f t="shared" ref="J4:J22" si="0">SUM(F4:I4)</f>
        <v>485.15659907144851</v>
      </c>
    </row>
    <row r="5" spans="1:10" x14ac:dyDescent="0.25">
      <c r="A5">
        <v>6505</v>
      </c>
      <c r="B5" t="s">
        <v>21</v>
      </c>
      <c r="C5">
        <v>4</v>
      </c>
      <c r="D5" s="73">
        <v>310.10912185379789</v>
      </c>
      <c r="E5" s="73">
        <v>37.461400050666043</v>
      </c>
      <c r="F5" s="73">
        <v>480.49952261962238</v>
      </c>
      <c r="G5" s="73">
        <v>4.6570764518261552</v>
      </c>
      <c r="H5" s="73"/>
      <c r="I5" s="73"/>
      <c r="J5" s="74">
        <f t="shared" si="0"/>
        <v>485.15659907144851</v>
      </c>
    </row>
    <row r="6" spans="1:10" x14ac:dyDescent="0.25">
      <c r="A6">
        <v>2562</v>
      </c>
      <c r="B6" t="s">
        <v>21</v>
      </c>
      <c r="C6">
        <v>3</v>
      </c>
      <c r="D6" s="73">
        <v>233.65582803652941</v>
      </c>
      <c r="E6" s="73">
        <v>36.242659097449732</v>
      </c>
      <c r="F6" s="73">
        <v>464.86731332084054</v>
      </c>
      <c r="G6" s="73">
        <v>4.5055666367518832</v>
      </c>
      <c r="H6" s="73"/>
      <c r="I6" s="73"/>
      <c r="J6" s="74">
        <f t="shared" si="0"/>
        <v>469.37287995759243</v>
      </c>
    </row>
    <row r="7" spans="1:10" x14ac:dyDescent="0.25">
      <c r="A7">
        <v>1180</v>
      </c>
      <c r="B7" t="s">
        <v>21</v>
      </c>
      <c r="C7">
        <v>3</v>
      </c>
      <c r="D7" s="73">
        <v>244.28757018326846</v>
      </c>
      <c r="E7" s="73">
        <v>36.242659097449732</v>
      </c>
      <c r="F7" s="73">
        <v>464.86731332084054</v>
      </c>
      <c r="G7" s="73">
        <v>4.5055666367518832</v>
      </c>
      <c r="H7" s="73"/>
      <c r="I7" s="73"/>
      <c r="J7" s="74">
        <f t="shared" si="0"/>
        <v>469.37287995759243</v>
      </c>
    </row>
    <row r="8" spans="1:10" x14ac:dyDescent="0.25">
      <c r="A8">
        <v>1177</v>
      </c>
      <c r="B8" t="s">
        <v>21</v>
      </c>
      <c r="C8">
        <v>4</v>
      </c>
      <c r="D8" s="73">
        <v>259.96063441907421</v>
      </c>
      <c r="E8" s="73">
        <v>37.461400050666043</v>
      </c>
      <c r="F8" s="73">
        <v>480.49952261962238</v>
      </c>
      <c r="G8" s="73">
        <v>4.6570764518261552</v>
      </c>
      <c r="H8" s="73"/>
      <c r="I8" s="73"/>
      <c r="J8" s="74">
        <f t="shared" si="0"/>
        <v>485.15659907144851</v>
      </c>
    </row>
    <row r="9" spans="1:10" x14ac:dyDescent="0.25">
      <c r="A9">
        <v>3896</v>
      </c>
      <c r="B9" t="s">
        <v>21</v>
      </c>
      <c r="C9">
        <v>4</v>
      </c>
      <c r="D9" s="73">
        <v>223.9479214682236</v>
      </c>
      <c r="E9" s="73">
        <v>37.461400050666043</v>
      </c>
      <c r="F9" s="73">
        <v>480.49952261962238</v>
      </c>
      <c r="G9" s="73">
        <v>4.6570764518261552</v>
      </c>
      <c r="H9" s="73"/>
      <c r="I9" s="73"/>
      <c r="J9" s="74">
        <f t="shared" si="0"/>
        <v>485.15659907144851</v>
      </c>
    </row>
    <row r="10" spans="1:10" x14ac:dyDescent="0.25">
      <c r="A10">
        <v>7885</v>
      </c>
      <c r="B10" t="s">
        <v>21</v>
      </c>
      <c r="C10">
        <v>3</v>
      </c>
      <c r="D10" s="73">
        <v>234.80015923969174</v>
      </c>
      <c r="E10" s="73">
        <v>36.242659097449732</v>
      </c>
      <c r="F10" s="73">
        <v>464.86731332084054</v>
      </c>
      <c r="G10" s="73">
        <v>4.5055666367518832</v>
      </c>
      <c r="H10" s="73"/>
      <c r="I10" s="73"/>
      <c r="J10" s="74">
        <f t="shared" si="0"/>
        <v>469.37287995759243</v>
      </c>
    </row>
    <row r="11" spans="1:10" x14ac:dyDescent="0.25">
      <c r="A11">
        <v>1183</v>
      </c>
      <c r="B11" t="s">
        <v>21</v>
      </c>
      <c r="C11">
        <v>4</v>
      </c>
      <c r="D11" s="73">
        <v>259.58823387776272</v>
      </c>
      <c r="E11" s="73">
        <v>37.461400050666043</v>
      </c>
      <c r="F11" s="73">
        <v>480.49952261962238</v>
      </c>
      <c r="G11" s="73">
        <v>4.6570764518261552</v>
      </c>
      <c r="H11" s="73"/>
      <c r="I11" s="73"/>
      <c r="J11" s="74">
        <f t="shared" si="0"/>
        <v>485.15659907144851</v>
      </c>
    </row>
    <row r="12" spans="1:10" x14ac:dyDescent="0.25">
      <c r="A12">
        <v>3649</v>
      </c>
      <c r="B12" t="s">
        <v>21</v>
      </c>
      <c r="C12">
        <v>3</v>
      </c>
      <c r="D12" s="73">
        <v>217.44004585932223</v>
      </c>
      <c r="E12" s="73">
        <v>36.242659097449732</v>
      </c>
      <c r="F12" s="73">
        <v>464.86731332084054</v>
      </c>
      <c r="G12" s="73">
        <v>4.5055666367518832</v>
      </c>
      <c r="H12" s="73"/>
      <c r="I12" s="73"/>
      <c r="J12" s="74">
        <f t="shared" si="0"/>
        <v>469.37287995759243</v>
      </c>
    </row>
    <row r="13" spans="1:10" x14ac:dyDescent="0.25">
      <c r="A13">
        <v>3912</v>
      </c>
      <c r="B13" t="s">
        <v>0</v>
      </c>
      <c r="C13">
        <v>2</v>
      </c>
      <c r="D13" s="73">
        <v>432.81836510078227</v>
      </c>
      <c r="E13" s="73">
        <v>42.855556169222943</v>
      </c>
      <c r="F13" s="73">
        <v>158.32236836340738</v>
      </c>
      <c r="G13" s="73">
        <v>0.42625185281646838</v>
      </c>
      <c r="H13" s="73">
        <v>40.479749589176599</v>
      </c>
      <c r="I13" s="73">
        <v>11.518994021510514</v>
      </c>
      <c r="J13" s="74">
        <f t="shared" si="0"/>
        <v>210.74736382691097</v>
      </c>
    </row>
    <row r="14" spans="1:10" x14ac:dyDescent="0.25">
      <c r="A14">
        <v>3806</v>
      </c>
      <c r="B14" t="s">
        <v>0</v>
      </c>
      <c r="C14">
        <v>2</v>
      </c>
      <c r="D14" s="73">
        <v>438.40225279053044</v>
      </c>
      <c r="E14" s="73">
        <v>42.855556169222943</v>
      </c>
      <c r="F14" s="73">
        <v>158.32236836340738</v>
      </c>
      <c r="G14" s="73">
        <v>0.42625185281646838</v>
      </c>
      <c r="H14" s="73">
        <v>40.479749589176599</v>
      </c>
      <c r="I14" s="73">
        <v>11.518994021510514</v>
      </c>
      <c r="J14" s="74">
        <f t="shared" si="0"/>
        <v>210.74736382691097</v>
      </c>
    </row>
    <row r="15" spans="1:10" x14ac:dyDescent="0.25">
      <c r="A15">
        <v>1157</v>
      </c>
      <c r="B15" t="s">
        <v>0</v>
      </c>
      <c r="C15">
        <v>2</v>
      </c>
      <c r="D15" s="73">
        <v>334.99998418584596</v>
      </c>
      <c r="E15" s="73">
        <v>42.855556169222943</v>
      </c>
      <c r="F15" s="73">
        <v>158.32236836340738</v>
      </c>
      <c r="G15" s="73">
        <v>0.42625185281646838</v>
      </c>
      <c r="H15" s="73">
        <v>40.479749589176599</v>
      </c>
      <c r="I15" s="73">
        <v>11.518994021510514</v>
      </c>
      <c r="J15" s="74">
        <f t="shared" si="0"/>
        <v>210.74736382691097</v>
      </c>
    </row>
    <row r="16" spans="1:10" x14ac:dyDescent="0.25">
      <c r="A16">
        <v>9868</v>
      </c>
      <c r="B16" t="s">
        <v>0</v>
      </c>
      <c r="C16">
        <v>2</v>
      </c>
      <c r="D16" s="73">
        <v>398.00426617112771</v>
      </c>
      <c r="E16" s="73">
        <v>42.855556169222943</v>
      </c>
      <c r="F16" s="73">
        <v>158.32236836340738</v>
      </c>
      <c r="G16" s="73">
        <v>0.42625185281646838</v>
      </c>
      <c r="H16" s="73">
        <v>40.479749589176599</v>
      </c>
      <c r="I16" s="73">
        <v>11.518994021510514</v>
      </c>
      <c r="J16" s="74">
        <f t="shared" si="0"/>
        <v>210.74736382691097</v>
      </c>
    </row>
    <row r="17" spans="1:10" x14ac:dyDescent="0.25">
      <c r="A17">
        <v>3883</v>
      </c>
      <c r="B17" t="s">
        <v>0</v>
      </c>
      <c r="C17">
        <v>5</v>
      </c>
      <c r="D17" s="73">
        <v>392.69223567944016</v>
      </c>
      <c r="E17" s="73">
        <v>44.800525922858967</v>
      </c>
      <c r="F17" s="73">
        <v>165.50771946642232</v>
      </c>
      <c r="G17" s="73">
        <v>0.44559699812004799</v>
      </c>
      <c r="H17" s="73">
        <v>42.316895005626698</v>
      </c>
      <c r="I17" s="73">
        <v>12.041775592135458</v>
      </c>
      <c r="J17" s="74">
        <f t="shared" si="0"/>
        <v>220.3119870623045</v>
      </c>
    </row>
    <row r="18" spans="1:10" x14ac:dyDescent="0.25">
      <c r="A18">
        <v>4130</v>
      </c>
      <c r="B18" t="s">
        <v>0</v>
      </c>
      <c r="C18">
        <v>5</v>
      </c>
      <c r="D18" s="73">
        <v>307.18050692725166</v>
      </c>
      <c r="E18" s="73">
        <v>44.800525922858967</v>
      </c>
      <c r="F18" s="73">
        <v>165.50771946642232</v>
      </c>
      <c r="G18" s="73">
        <v>0.44559699812004799</v>
      </c>
      <c r="H18" s="73">
        <v>42.316895005626698</v>
      </c>
      <c r="I18" s="73">
        <v>12.041775592135458</v>
      </c>
      <c r="J18" s="74">
        <f t="shared" si="0"/>
        <v>220.3119870623045</v>
      </c>
    </row>
    <row r="19" spans="1:10" x14ac:dyDescent="0.25">
      <c r="A19">
        <v>3651</v>
      </c>
      <c r="B19" t="s">
        <v>0</v>
      </c>
      <c r="C19">
        <v>5</v>
      </c>
      <c r="D19" s="73">
        <v>362.53222494220643</v>
      </c>
      <c r="E19" s="73">
        <v>44.800525922858967</v>
      </c>
      <c r="F19" s="73">
        <v>165.50771946642232</v>
      </c>
      <c r="G19" s="73">
        <v>0.44559699812004799</v>
      </c>
      <c r="H19" s="73">
        <v>42.316895005626698</v>
      </c>
      <c r="I19" s="73">
        <v>12.041775592135458</v>
      </c>
      <c r="J19" s="74">
        <f t="shared" si="0"/>
        <v>220.3119870623045</v>
      </c>
    </row>
    <row r="20" spans="1:10" x14ac:dyDescent="0.25">
      <c r="A20">
        <v>8890</v>
      </c>
      <c r="B20" t="s">
        <v>0</v>
      </c>
      <c r="C20">
        <v>5</v>
      </c>
      <c r="D20" s="73">
        <v>377.63646950844935</v>
      </c>
      <c r="E20" s="73">
        <v>44.800525922858967</v>
      </c>
      <c r="F20" s="73">
        <v>165.50771946642232</v>
      </c>
      <c r="G20" s="73">
        <v>0.44559699812004799</v>
      </c>
      <c r="H20" s="73">
        <v>42.316895005626698</v>
      </c>
      <c r="I20" s="73">
        <v>12.041775592135458</v>
      </c>
      <c r="J20" s="74">
        <f t="shared" si="0"/>
        <v>220.3119870623045</v>
      </c>
    </row>
    <row r="21" spans="1:10" x14ac:dyDescent="0.25">
      <c r="A21">
        <v>3831</v>
      </c>
      <c r="B21" t="s">
        <v>0</v>
      </c>
      <c r="C21">
        <v>5</v>
      </c>
      <c r="D21" s="73">
        <v>471.24733228655339</v>
      </c>
      <c r="E21" s="73">
        <v>44.800525922858967</v>
      </c>
      <c r="F21" s="73">
        <v>165.50771946642232</v>
      </c>
      <c r="G21" s="73">
        <v>0.44559699812004799</v>
      </c>
      <c r="H21" s="73">
        <v>42.316895005626698</v>
      </c>
      <c r="I21" s="73">
        <v>12.041775592135458</v>
      </c>
      <c r="J21" s="74">
        <f t="shared" si="0"/>
        <v>220.3119870623045</v>
      </c>
    </row>
    <row r="22" spans="1:10" x14ac:dyDescent="0.25">
      <c r="A22">
        <v>3644</v>
      </c>
      <c r="B22" t="s">
        <v>0</v>
      </c>
      <c r="C22">
        <v>2</v>
      </c>
      <c r="D22" s="73">
        <v>365.53190313971771</v>
      </c>
      <c r="E22" s="73">
        <v>42.855556169222943</v>
      </c>
      <c r="F22" s="73">
        <v>158.32236836340738</v>
      </c>
      <c r="G22" s="73">
        <v>0.42625185281646838</v>
      </c>
      <c r="H22" s="73">
        <v>40.479749589176599</v>
      </c>
      <c r="I22" s="73">
        <v>11.518994021510514</v>
      </c>
      <c r="J22" s="74">
        <f t="shared" si="0"/>
        <v>210.74736382691097</v>
      </c>
    </row>
  </sheetData>
  <mergeCells count="1">
    <mergeCell ref="D1:J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CDE78-2145-4402-9364-74E1FAD1EDE8}">
  <dimension ref="A1:B11"/>
  <sheetViews>
    <sheetView workbookViewId="0">
      <selection activeCell="B13" sqref="B13"/>
    </sheetView>
  </sheetViews>
  <sheetFormatPr defaultRowHeight="15" x14ac:dyDescent="0.25"/>
  <cols>
    <col min="1" max="1" width="20" style="63" bestFit="1" customWidth="1"/>
    <col min="2" max="2" width="107.28515625" style="69" customWidth="1"/>
  </cols>
  <sheetData>
    <row r="1" spans="1:2" x14ac:dyDescent="0.25">
      <c r="A1" s="66" t="s">
        <v>81</v>
      </c>
      <c r="B1" s="64" t="s">
        <v>82</v>
      </c>
    </row>
    <row r="2" spans="1:2" x14ac:dyDescent="0.25">
      <c r="A2" s="63" t="s">
        <v>83</v>
      </c>
      <c r="B2" s="65" t="s">
        <v>84</v>
      </c>
    </row>
    <row r="3" spans="1:2" ht="30" x14ac:dyDescent="0.25">
      <c r="A3" s="63" t="s">
        <v>85</v>
      </c>
      <c r="B3" s="68" t="s">
        <v>86</v>
      </c>
    </row>
    <row r="4" spans="1:2" ht="45" x14ac:dyDescent="0.25">
      <c r="A4" s="63" t="s">
        <v>82</v>
      </c>
      <c r="B4" s="67" t="s">
        <v>87</v>
      </c>
    </row>
    <row r="5" spans="1:2" x14ac:dyDescent="0.25">
      <c r="A5" s="63" t="s">
        <v>88</v>
      </c>
      <c r="B5" s="67">
        <v>20</v>
      </c>
    </row>
    <row r="6" spans="1:2" x14ac:dyDescent="0.25">
      <c r="A6" s="63" t="s">
        <v>99</v>
      </c>
      <c r="B6" s="67" t="s">
        <v>100</v>
      </c>
    </row>
    <row r="7" spans="1:2" x14ac:dyDescent="0.25">
      <c r="A7" s="63" t="s">
        <v>89</v>
      </c>
      <c r="B7" s="65">
        <v>2</v>
      </c>
    </row>
    <row r="8" spans="1:2" x14ac:dyDescent="0.25">
      <c r="A8" s="63" t="s">
        <v>90</v>
      </c>
      <c r="B8" s="62" t="s">
        <v>96</v>
      </c>
    </row>
    <row r="9" spans="1:2" ht="30" x14ac:dyDescent="0.25">
      <c r="A9" s="63" t="s">
        <v>91</v>
      </c>
      <c r="B9" s="67" t="s">
        <v>97</v>
      </c>
    </row>
    <row r="10" spans="1:2" ht="15.75" x14ac:dyDescent="0.25">
      <c r="A10" s="70" t="s">
        <v>93</v>
      </c>
      <c r="B10" s="72" t="s">
        <v>94</v>
      </c>
    </row>
    <row r="11" spans="1:2" x14ac:dyDescent="0.25">
      <c r="A11" s="63" t="s">
        <v>95</v>
      </c>
      <c r="B11" s="71" t="s">
        <v>92</v>
      </c>
    </row>
  </sheetData>
  <hyperlinks>
    <hyperlink ref="B10" r:id="rId1" xr:uid="{5FCC835D-C534-49B5-B79C-CA65241400B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Live weights</vt:lpstr>
      <vt:lpstr>Daily feed intake</vt:lpstr>
      <vt:lpstr>Dry matter Intake</vt:lpstr>
      <vt:lpstr>Greenhouse gases emissions</vt:lpstr>
      <vt:lpstr>Carcass composition</vt:lpstr>
      <vt:lpstr>Meat texture</vt:lpstr>
      <vt:lpstr>Meat color</vt:lpstr>
      <vt:lpstr>Carbon Footprint</vt:lpstr>
      <vt:lpstr>README</vt:lpstr>
      <vt:lpstr>README!_Hlk200704065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dc:creator>
  <cp:lastModifiedBy>Friend, Emalee - REE-ARS</cp:lastModifiedBy>
  <dcterms:created xsi:type="dcterms:W3CDTF">2015-06-05T18:19:34Z</dcterms:created>
  <dcterms:modified xsi:type="dcterms:W3CDTF">2026-04-22T14:47:53Z</dcterms:modified>
</cp:coreProperties>
</file>